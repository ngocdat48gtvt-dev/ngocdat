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C:\Users\Admin\Desktop\Tập huấn QL, BDTX_2025\Tổng hợp sổ sách BDTX 2025 (cập nhật VBPL mới)\"/>
    </mc:Choice>
  </mc:AlternateContent>
  <xr:revisionPtr revIDLastSave="0" documentId="13_ncr:1_{09008401-DC30-48BB-836A-E1EC5FA58603}" xr6:coauthVersionLast="47" xr6:coauthVersionMax="47" xr10:uidLastSave="{00000000-0000-0000-0000-000000000000}"/>
  <bookViews>
    <workbookView xWindow="-120" yWindow="-120" windowWidth="29040" windowHeight="15840" tabRatio="765" firstSheet="1" activeTab="1" xr2:uid="{9FCED1A3-BBF1-458D-8D63-C639093622A5}"/>
  </bookViews>
  <sheets>
    <sheet name="Bia" sheetId="17" r:id="rId1"/>
    <sheet name="Huong dan" sheetId="18" r:id="rId2"/>
    <sheet name="Kh.Quat" sheetId="19" state="hidden" r:id="rId3"/>
    <sheet name="1. TH" sheetId="14" r:id="rId4"/>
    <sheet name="2. (Mat)" sheetId="12" r:id="rId5"/>
    <sheet name="3. (Cau)" sheetId="2" r:id="rId6"/>
    <sheet name="4. (Cong)" sheetId="4" r:id="rId7"/>
    <sheet name="5. (B.Bao)" sheetId="10" r:id="rId8"/>
    <sheet name="6. (ATGT)" sheetId="5" r:id="rId9"/>
    <sheet name="7. (Ho lan)" sheetId="3" r:id="rId10"/>
    <sheet name="8. (MLG)" sheetId="6" r:id="rId11"/>
    <sheet name="9. (Ke+TC)" sheetId="1" r:id="rId12"/>
    <sheet name="10. (Ranh)" sheetId="9" r:id="rId13"/>
    <sheet name="11. (L+P.co)" sheetId="11" r:id="rId14"/>
    <sheet name="Bieu 11 (Ch.Sang+Cay xanh)" sheetId="13" state="hidden" r:id="rId15"/>
    <sheet name="12. (Dau noi)" sheetId="16" r:id="rId16"/>
  </sheets>
  <definedNames>
    <definedName name="_xlnm.Print_Area" localSheetId="12">'10. (Ranh)'!$A$1:$AA$20</definedName>
    <definedName name="_xlnm.Print_Area" localSheetId="13">'11. (L+P.co)'!$A$1:$L$19</definedName>
    <definedName name="_xlnm.Print_Area" localSheetId="15">'12. (Dau noi)'!$A$1:$G$17</definedName>
    <definedName name="_xlnm.Print_Area" localSheetId="5">'3. (Cau)'!$A$1:$AO$20</definedName>
    <definedName name="_xlnm.Print_Area" localSheetId="6">'4. (Cong)'!$A$1:$O$29</definedName>
    <definedName name="_xlnm.Print_Area" localSheetId="7">'5. (B.Bao)'!$A$1:$L$19</definedName>
    <definedName name="_xlnm.Print_Area" localSheetId="8">'6. (ATGT)'!$A$1:$Q$19</definedName>
    <definedName name="_xlnm.Print_Area" localSheetId="9">'7. (Ho lan)'!$A$1:$U$19</definedName>
    <definedName name="_xlnm.Print_Area" localSheetId="10">'8. (MLG)'!$A$1:$L$18</definedName>
    <definedName name="_xlnm.Print_Area" localSheetId="11">'9. (Ke+TC)'!$A$1:$U$19</definedName>
    <definedName name="_xlnm.Print_Titles" localSheetId="5">'3. (Cau)'!#REF!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4" l="1"/>
  <c r="H8" i="3"/>
  <c r="E8" i="3"/>
  <c r="F8" i="3"/>
  <c r="G8" i="3"/>
  <c r="I8" i="3"/>
  <c r="J8" i="3"/>
  <c r="K8" i="3"/>
  <c r="L8" i="3"/>
  <c r="M8" i="3"/>
  <c r="D8" i="3"/>
  <c r="A3" i="13"/>
  <c r="A2" i="13"/>
  <c r="A4" i="11"/>
  <c r="A3" i="11"/>
  <c r="A4" i="9"/>
  <c r="A3" i="9"/>
  <c r="A4" i="1"/>
  <c r="A3" i="1"/>
  <c r="A4" i="6"/>
  <c r="A3" i="6"/>
  <c r="A4" i="3"/>
  <c r="A3" i="3"/>
  <c r="A4" i="5"/>
  <c r="A3" i="5"/>
  <c r="A4" i="10"/>
  <c r="A3" i="10"/>
  <c r="A4" i="4"/>
  <c r="A3" i="4"/>
  <c r="A4" i="2"/>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1D789E67-3F95-4A8D-8CB9-BEE1D622BC14}">
      <text>
        <r>
          <rPr>
            <b/>
            <sz val="9"/>
            <color indexed="81"/>
            <rFont val="Tahoma"/>
            <family val="2"/>
          </rPr>
          <t>Author:</t>
        </r>
        <r>
          <rPr>
            <sz val="9"/>
            <color indexed="81"/>
            <rFont val="Tahoma"/>
            <family val="2"/>
          </rPr>
          <t xml:space="preserve">
4.2.6. TCCS07:2013</t>
        </r>
      </text>
    </comment>
    <comment ref="A2" authorId="0" shapeId="0" xr:uid="{74D696DF-4F41-4E65-98CE-E03E5961E515}">
      <text>
        <r>
          <rPr>
            <b/>
            <sz val="9"/>
            <color indexed="81"/>
            <rFont val="Tahoma"/>
            <family val="2"/>
          </rPr>
          <t>Author:</t>
        </r>
        <r>
          <rPr>
            <sz val="9"/>
            <color indexed="81"/>
            <rFont val="Tahoma"/>
            <family val="2"/>
          </rPr>
          <t xml:space="preserve">
4.2.6. TCCS07:2013</t>
        </r>
      </text>
    </comment>
  </commentList>
</comments>
</file>

<file path=xl/sharedStrings.xml><?xml version="1.0" encoding="utf-8"?>
<sst xmlns="http://schemas.openxmlformats.org/spreadsheetml/2006/main" count="541" uniqueCount="306">
  <si>
    <t>TT</t>
  </si>
  <si>
    <t>BTCT</t>
  </si>
  <si>
    <t>Lý trình</t>
  </si>
  <si>
    <t>Ghi chú</t>
  </si>
  <si>
    <t>Cột Km</t>
  </si>
  <si>
    <t>Cột H</t>
  </si>
  <si>
    <t>Đến</t>
  </si>
  <si>
    <t>BTXM</t>
  </si>
  <si>
    <t>III</t>
  </si>
  <si>
    <t>IV</t>
  </si>
  <si>
    <t>V</t>
  </si>
  <si>
    <t>I</t>
  </si>
  <si>
    <t>Chiều dài (m)</t>
  </si>
  <si>
    <t>Từ Km</t>
  </si>
  <si>
    <t>Kết cấu dầm nhịp (nhịp/mét)</t>
  </si>
  <si>
    <t>Kết cấu phần dưới</t>
  </si>
  <si>
    <t>Tải trọng</t>
  </si>
  <si>
    <t>Tên cầu</t>
  </si>
  <si>
    <t>Vòm</t>
  </si>
  <si>
    <t>Thân</t>
  </si>
  <si>
    <t>Thép</t>
  </si>
  <si>
    <t>Khẩu độ</t>
  </si>
  <si>
    <t>Kết cấu cống</t>
  </si>
  <si>
    <t>T. Lưu</t>
  </si>
  <si>
    <t>Bê tông</t>
  </si>
  <si>
    <t>Kết cấu</t>
  </si>
  <si>
    <t>Cọc tiêu</t>
  </si>
  <si>
    <t>Đến Km</t>
  </si>
  <si>
    <t>Trái</t>
  </si>
  <si>
    <t>Phải</t>
  </si>
  <si>
    <t xml:space="preserve">Từ </t>
  </si>
  <si>
    <t>Tổng</t>
  </si>
  <si>
    <t>Chiều dài (Km)</t>
  </si>
  <si>
    <t>B nền (m)</t>
  </si>
  <si>
    <t>B mặt (m)</t>
  </si>
  <si>
    <t>5-6,9m (2 làn)</t>
  </si>
  <si>
    <t>≤ 5</t>
  </si>
  <si>
    <t>BT nhựa</t>
  </si>
  <si>
    <t>Đá nhựa</t>
  </si>
  <si>
    <t>Cấp phối</t>
  </si>
  <si>
    <t>Chiều dày mặt đường (cm)</t>
  </si>
  <si>
    <t>Cấp đường đồng bằng và đồi</t>
  </si>
  <si>
    <t>II</t>
  </si>
  <si>
    <t>Cấp đường miền núi</t>
  </si>
  <si>
    <t>Phân loại</t>
  </si>
  <si>
    <t>1-3 năm</t>
  </si>
  <si>
    <t>4-6 năm</t>
  </si>
  <si>
    <t>7-9 năm</t>
  </si>
  <si>
    <t>&gt; 9 năm</t>
  </si>
  <si>
    <t>Bàn giao thi công</t>
  </si>
  <si>
    <t>Toàn bộ</t>
  </si>
  <si>
    <t>Mặt đường</t>
  </si>
  <si>
    <t>Năm đại tu XDCB gần nhất</t>
  </si>
  <si>
    <t>Năm có DA sửa chữa mặt đường</t>
  </si>
  <si>
    <t>Thị xã, thị tứ, chiều dài từ Km đến Km</t>
  </si>
  <si>
    <r>
      <rPr>
        <b/>
        <sz val="12"/>
        <rFont val="Calibri"/>
        <family val="2"/>
      </rPr>
      <t>≥</t>
    </r>
    <r>
      <rPr>
        <b/>
        <sz val="12"/>
        <rFont val="Times New Roman"/>
        <family val="1"/>
      </rPr>
      <t xml:space="preserve"> 14m (4 làn)</t>
    </r>
  </si>
  <si>
    <r>
      <rPr>
        <b/>
        <sz val="12"/>
        <rFont val="Calibri"/>
        <family val="2"/>
      </rPr>
      <t>≥</t>
    </r>
    <r>
      <rPr>
        <b/>
        <sz val="12"/>
        <rFont val="Times New Roman"/>
        <family val="1"/>
      </rPr>
      <t xml:space="preserve"> 7m (2 làn)</t>
    </r>
  </si>
  <si>
    <t>Stt</t>
  </si>
  <si>
    <t>Tên đường</t>
  </si>
  <si>
    <t>Tên sông, suối (vượt)</t>
  </si>
  <si>
    <t>Địa danh (Tỉnh)</t>
  </si>
  <si>
    <t>Lý trình (Km)</t>
  </si>
  <si>
    <t>Chiều dài cầu (m)</t>
  </si>
  <si>
    <t>Chiều rộng (m)</t>
  </si>
  <si>
    <t>Tĩnh không TT (m)</t>
  </si>
  <si>
    <t>Số nhịp</t>
  </si>
  <si>
    <t>Sơ đồ nhịp</t>
  </si>
  <si>
    <t>BTCT DƯL</t>
  </si>
  <si>
    <t>Dàn thép</t>
  </si>
  <si>
    <t>I liên hợp</t>
  </si>
  <si>
    <t>Loại khác</t>
  </si>
  <si>
    <t>Mố TT</t>
  </si>
  <si>
    <t xml:space="preserve">Móng </t>
  </si>
  <si>
    <t xml:space="preserve">Thân </t>
  </si>
  <si>
    <t>Trụ TT</t>
  </si>
  <si>
    <t>Thiết kế</t>
  </si>
  <si>
    <t>Thực tế</t>
  </si>
  <si>
    <t>Năm xây dựng</t>
  </si>
  <si>
    <t>Năm khai thác</t>
  </si>
  <si>
    <t>Tình trạng</t>
  </si>
  <si>
    <t>Gối cầu</t>
  </si>
  <si>
    <t>Số lượng (gối)</t>
  </si>
  <si>
    <t>Loại gối</t>
  </si>
  <si>
    <t>Loại KCG</t>
  </si>
  <si>
    <t>Diện tích lan can cầu (m2)</t>
  </si>
  <si>
    <t>Phần BT</t>
  </si>
  <si>
    <t>Phần tay vịn thép</t>
  </si>
  <si>
    <t>Ống thoát nước</t>
  </si>
  <si>
    <t>Số lượng (ống)</t>
  </si>
  <si>
    <t>Diện tích phát quang 2 đầu mố cầu (m2)</t>
  </si>
  <si>
    <t>Diện tích dầm thép liên hợp (m2)</t>
  </si>
  <si>
    <t>Diện tích đỉnh trụ (m2)</t>
  </si>
  <si>
    <t>Diện tích đỉnh mố (m2)</t>
  </si>
  <si>
    <t>STT</t>
  </si>
  <si>
    <t>Thân cống</t>
  </si>
  <si>
    <t>Đầu cống</t>
  </si>
  <si>
    <t>H. Lưu</t>
  </si>
  <si>
    <t>Chiều dài cống</t>
  </si>
  <si>
    <t>Tròn (m)</t>
  </si>
  <si>
    <t>Hộp (m)</t>
  </si>
  <si>
    <t>Bản (m)</t>
  </si>
  <si>
    <t>Vòm (m)</t>
  </si>
  <si>
    <t>Đ. Khan (m)</t>
  </si>
  <si>
    <t>Khác (m)</t>
  </si>
  <si>
    <t>Tình trạng hiện tại</t>
  </si>
  <si>
    <t>Vị trí</t>
  </si>
  <si>
    <t>Giữa</t>
  </si>
  <si>
    <t>Biển báo các loại</t>
  </si>
  <si>
    <t>Mặt biển</t>
  </si>
  <si>
    <t>Số hiệu</t>
  </si>
  <si>
    <t>Cột biển</t>
  </si>
  <si>
    <t>Số cột</t>
  </si>
  <si>
    <t>Diện tích (m2)</t>
  </si>
  <si>
    <t>Gương cầu lồi</t>
  </si>
  <si>
    <t>Số lượng (cọc)</t>
  </si>
  <si>
    <t>Số lượng (cột)</t>
  </si>
  <si>
    <t>Vạch sơn kẻ đường (m2)</t>
  </si>
  <si>
    <t>Rào chắn thép DPC</t>
  </si>
  <si>
    <t>Chiều dài (tấm)</t>
  </si>
  <si>
    <t>Tôn sóng mạ kẽm (m)</t>
  </si>
  <si>
    <t>Cộng</t>
  </si>
  <si>
    <t>Mắt phản quang (cái)</t>
  </si>
  <si>
    <t>Tôn sóng sơn (m)</t>
  </si>
  <si>
    <t>Hộ lan cáp (m)</t>
  </si>
  <si>
    <t>Hộ lan bê tông (m)</t>
  </si>
  <si>
    <t>Hộ lan đá xây (m)</t>
  </si>
  <si>
    <t>Hệ thống hộ lan</t>
  </si>
  <si>
    <t>Mốc GPMB (cọc)</t>
  </si>
  <si>
    <t>Mốc lộ giới (cọc)</t>
  </si>
  <si>
    <t>Phía tuyến</t>
  </si>
  <si>
    <t>Kè, tường chắn</t>
  </si>
  <si>
    <t>Kè ốp mái xây đá</t>
  </si>
  <si>
    <t>Dài (m)</t>
  </si>
  <si>
    <t>Rộng (m)</t>
  </si>
  <si>
    <t>Kè ốp mái tấm bê tông</t>
  </si>
  <si>
    <t>Kè rọ thép</t>
  </si>
  <si>
    <t>Số lượng (tấm)</t>
  </si>
  <si>
    <t>Cao (m)</t>
  </si>
  <si>
    <t>Tường chắn bê tông</t>
  </si>
  <si>
    <t>Tường chắn đá xây</t>
  </si>
  <si>
    <t>Năm đưa vào sử dụng</t>
  </si>
  <si>
    <t>BẢNG THỐNG KÊ HỆ THỐNG BÁO HIỆU ĐƯỜNG BỘ</t>
  </si>
  <si>
    <t>Kín</t>
  </si>
  <si>
    <t>Hở</t>
  </si>
  <si>
    <t xml:space="preserve">Trái </t>
  </si>
  <si>
    <t>Hệ thống rãnh dọc (m)</t>
  </si>
  <si>
    <t xml:space="preserve">Kín </t>
  </si>
  <si>
    <t>Tổng cộng</t>
  </si>
  <si>
    <t>Lề đường (m)</t>
  </si>
  <si>
    <t>Lề đất</t>
  </si>
  <si>
    <t xml:space="preserve">Lề gia cố </t>
  </si>
  <si>
    <t>Phát quang (m2)</t>
  </si>
  <si>
    <t>Phát quang taluy</t>
  </si>
  <si>
    <t>BẢNG THỐNG KÊ HỆ THỐNG CHIẾU SÁNG VÀ CÂY XANH</t>
  </si>
  <si>
    <t>Hệ thống chiếu sáng</t>
  </si>
  <si>
    <t>Số bóng (bóng)</t>
  </si>
  <si>
    <t>Số cột (cột)</t>
  </si>
  <si>
    <t>Số lượng (cây)</t>
  </si>
  <si>
    <t>Thảm cỏ, vườn hoa (m2)</t>
  </si>
  <si>
    <t>Hệ thống cây xanh</t>
  </si>
  <si>
    <t xml:space="preserve">Tổng cộng: </t>
  </si>
  <si>
    <t>…</t>
  </si>
  <si>
    <t>Cái</t>
  </si>
  <si>
    <t>….</t>
  </si>
  <si>
    <t>md</t>
  </si>
  <si>
    <t>Cống tròn:</t>
  </si>
  <si>
    <t>Cống hộp:</t>
  </si>
  <si>
    <t>Cống bản:</t>
  </si>
  <si>
    <t>Cống vòm:</t>
  </si>
  <si>
    <t>Cống Đ. khan:</t>
  </si>
  <si>
    <t>Cống khác:</t>
  </si>
  <si>
    <t>HẠT TRƯỞNG</t>
  </si>
  <si>
    <t xml:space="preserve">CHI TIẾT VỊ TRÍ ĐẤU NỐI </t>
  </si>
  <si>
    <t>Phía</t>
  </si>
  <si>
    <t>Kết cấu mặt đường đấu nối</t>
  </si>
  <si>
    <t>P</t>
  </si>
  <si>
    <t>T</t>
  </si>
  <si>
    <t>Bn (m)</t>
  </si>
  <si>
    <t>CỘNG HÒA XÃ HỘI CHỦ NGHĨA VIỆT NAM</t>
  </si>
  <si>
    <t>Độc Lập - Tự Do - Hạnh Phúc</t>
  </si>
  <si>
    <t>SỔ THEO DÕI</t>
  </si>
  <si>
    <t>KẾT CẤU HẠ TẦNG ĐƯỜNG BỘ</t>
  </si>
  <si>
    <t xml:space="preserve">   Tên Hạt:…………...Lý trình quản lý: Km….+….. -Km….+….</t>
  </si>
  <si>
    <t xml:space="preserve">   Bắt đầu ngày:................../………../………………………................</t>
  </si>
  <si>
    <t xml:space="preserve">   Hết quyển ngày:………../………../……………………….................</t>
  </si>
  <si>
    <t>CÔNG TY……..</t>
  </si>
  <si>
    <t>Tên đường: ………….</t>
  </si>
  <si>
    <t>BẢNG TỔNG HỢP SỐ LIỆU QUẢN LÝ ĐƯỜNG</t>
  </si>
  <si>
    <t>Điểm đầu</t>
  </si>
  <si>
    <t>Điểm cuối</t>
  </si>
  <si>
    <t>Cấp đường</t>
  </si>
  <si>
    <t>Kết cấu mặt đường</t>
  </si>
  <si>
    <t>Bề rộng mặt đường (m)</t>
  </si>
  <si>
    <t>Đấu nối (vị trí)</t>
  </si>
  <si>
    <t>Cầu (cái/m)</t>
  </si>
  <si>
    <t>Rãnh xây + Bê tông (m)</t>
  </si>
  <si>
    <t>Cọc Tiêu (cọc)</t>
  </si>
  <si>
    <t>Cọc H (Cọc)</t>
  </si>
  <si>
    <t>Biển báo (biển)</t>
  </si>
  <si>
    <t>K.L Hiện trạng</t>
  </si>
  <si>
    <t>Nhà Hạt (cái)</t>
  </si>
  <si>
    <t>Cống (cái/m)</t>
  </si>
  <si>
    <t>Cọc Km (Cọc)</t>
  </si>
  <si>
    <t>Vạch sơn đường (m2)</t>
  </si>
  <si>
    <t>Hộ lan (m)</t>
  </si>
  <si>
    <t>Tôn sóng</t>
  </si>
  <si>
    <t>BT</t>
  </si>
  <si>
    <t>Đá xây</t>
  </si>
  <si>
    <t>MLG (cái)</t>
  </si>
  <si>
    <t>Kè + tường chắn</t>
  </si>
  <si>
    <t>Ốp mái đá xây (m2)</t>
  </si>
  <si>
    <t>Ốp mái BT (m2)</t>
  </si>
  <si>
    <t>Rọ đá</t>
  </si>
  <si>
    <t>Tường chắn BT (m)</t>
  </si>
  <si>
    <t>Tường chắn đá xây (m)</t>
  </si>
  <si>
    <t>Rãnh</t>
  </si>
  <si>
    <t>kín</t>
  </si>
  <si>
    <t>hở</t>
  </si>
  <si>
    <t>Lề dường</t>
  </si>
  <si>
    <t>Đất</t>
  </si>
  <si>
    <t>Gia cố BTXM, nhựa</t>
  </si>
  <si>
    <t>Cây xanh (cây)</t>
  </si>
  <si>
    <t>Chiếu sáng (cây)</t>
  </si>
  <si>
    <r>
      <rPr>
        <b/>
        <sz val="12"/>
        <rFont val="Times New Roman"/>
        <family val="1"/>
      </rPr>
      <t>≥ 14m (4 làn)</t>
    </r>
  </si>
  <si>
    <r>
      <rPr>
        <b/>
        <sz val="12"/>
        <rFont val="Times New Roman"/>
        <family val="1"/>
      </rPr>
      <t>≥ 7m (2 làn)</t>
    </r>
  </si>
  <si>
    <t>Chiều dài</t>
  </si>
  <si>
    <t>Km</t>
  </si>
  <si>
    <t>Điểm đầu giao với tuyến….tại Km….</t>
  </si>
  <si>
    <t>Điểm cuối giao với tuyến…. Tại Km</t>
  </si>
  <si>
    <t>Tuyến được nâng lên quốc lộ (đường tỉnh) năm …, đường cấp…., bề rộng nền Bn=…., Bm=… mặt đường hiện trạng là mặt đường …..(láng nhựa, BTXM, BTN, cấp phối)</t>
  </si>
  <si>
    <t>Hiện trạng</t>
  </si>
  <si>
    <t>Đi qua 05 xã , xã …..…..từ Km….-Km…..</t>
  </si>
  <si>
    <t>Bổ sung đấu nối năm 2024</t>
  </si>
  <si>
    <t>Tổng cộng:</t>
  </si>
  <si>
    <t>Từ đoạn Km…+… - Km…+… Đường …</t>
  </si>
  <si>
    <t>Tính đến ngày 31 tháng 12 năm 2023</t>
  </si>
  <si>
    <t xml:space="preserve">   Tên đường: ………….</t>
  </si>
  <si>
    <t xml:space="preserve">   Đơn vị QL, BDTX:………………….</t>
  </si>
  <si>
    <t>Bổ sung, sửa chữa năm 2024</t>
  </si>
  <si>
    <t>ĐƯỜNG …..    (…... - …...)</t>
  </si>
  <si>
    <t>p</t>
  </si>
  <si>
    <t>BIỂU THỐNG KÊ CHI TIẾT HỆ THỐNG HỘ LAN</t>
  </si>
  <si>
    <t>BIỂU THỐNG KÊ KÈ, TƯỜNG CHẮN</t>
  </si>
  <si>
    <t>BẢNG THỐNG KÊ PHÂN LOẠI MẶT ĐƯỜNG</t>
  </si>
  <si>
    <t>Dự án sửa chữa mặt đường 2024</t>
  </si>
  <si>
    <t>BẢNG THỐNG KÊ CẦU</t>
  </si>
  <si>
    <t>Bổ sung, hư hỏng năm 2024</t>
  </si>
  <si>
    <t>BẢNG THỐNG KÊ CỐNG CÁC LOẠI</t>
  </si>
  <si>
    <t>Hư hỏng, bổ sung năm 2024</t>
  </si>
  <si>
    <t>BẢNG THỐNG KÊ CÁC CÔNG TRÌNH ATGT</t>
  </si>
  <si>
    <t>BẢNG THỐNG KÊ MỐC LỘ GIỚI, MỐC GPMB</t>
  </si>
  <si>
    <t>Vị trí (trái, phải)</t>
  </si>
  <si>
    <t>Số lượng (rọ)</t>
  </si>
  <si>
    <t>BẢNG THỐNG KÊ RÃNH DỌC</t>
  </si>
  <si>
    <t>bản A</t>
  </si>
  <si>
    <t>Trường B</t>
  </si>
  <si>
    <t>UBND xã C</t>
  </si>
  <si>
    <t>Cây xăng D</t>
  </si>
  <si>
    <t>BIỂU THỐNG KÊ LỀ ĐƯỜNG, PHÁT QUANG</t>
  </si>
  <si>
    <t>Phụ lục số 11</t>
  </si>
  <si>
    <t>HƯỚNG DẪN LẬP, GHI CHÉP SỔ THEO DÕI KẾT CẤU HẠ TẦNG GIAO THÔNG</t>
  </si>
  <si>
    <t xml:space="preserve">                  I. MỤC ĐÍCH</t>
  </si>
  <si>
    <t xml:space="preserve">                  II. YÊU CẦU</t>
  </si>
  <si>
    <t xml:space="preserve">                  - Tuần đường thường xuyên kiểm tra đánh giá và cập nhật các biến động tài sản kết cấu hạ tầng đường bộ và đề xuất giải pháp xử lý kịp thời nâng cao hiệu quả công tác quản lý, bảo trì.
                  - Hàng tháng, hàng quý, khi nghiệm thu công tác BDTX, Hồ sơ quản lý nhà hạt phải được xuất trình để hội đồng nghiệm thu xem xét đánh giá công tác quản lý theo tháng, quý đó.
                  - Sổ theo dõi kết cấu hạ tầng giao thông được theo dõi từ tháng 1 đến tháng 12, hết năm đơn vị đưa vào lưu trữ.</t>
  </si>
  <si>
    <t xml:space="preserve">                  IV. HƯỚNG DẪN GHI SỔ</t>
  </si>
  <si>
    <t xml:space="preserve">                  - Quản lý, sử dụng và khai thác kết cấu hạ tầng giao thông, để chủ động theo dõi các hư hỏng có biện pháp khắc phục kịp thời hư hỏng trên tuyến nhằm hạn chế phát sinh và nâng cao hiệu quả công tác quản lý, bảo trì quốc lộ, đường tỉnh đáp ứng nhu cầu đi lại của nhân dân</t>
  </si>
  <si>
    <t xml:space="preserve">                  - Sổ theo dõi kết cấu hạ tầng giao thông nhằm phục vụ công tác báo cáo kê khai và cập nhật vào cơ sở dữ liệu về tài sản kết cấu hạ tầng giao thông đường bộ để quản lý thống nhất.</t>
  </si>
  <si>
    <t xml:space="preserve">                  III. QUY CÁCH HỒ SƠ</t>
  </si>
  <si>
    <t>Bảng 01</t>
  </si>
  <si>
    <t>Bảng số 02</t>
  </si>
  <si>
    <t>Bảng số 03</t>
  </si>
  <si>
    <t>Bảng số 04</t>
  </si>
  <si>
    <t>Bảng số 05</t>
  </si>
  <si>
    <t>Bảng số 06</t>
  </si>
  <si>
    <t>Bảng số 07</t>
  </si>
  <si>
    <t>Bảng số 08</t>
  </si>
  <si>
    <t>Bảng số 09</t>
  </si>
  <si>
    <t>Bảng số 10</t>
  </si>
  <si>
    <t>Bảng số 11</t>
  </si>
  <si>
    <t>Bảng số 12</t>
  </si>
  <si>
    <t>Bề rộng xe chạy (m)</t>
  </si>
  <si>
    <t>Rãnh đất (m)</t>
  </si>
  <si>
    <t>Rãnh xây gạch (m)</t>
  </si>
  <si>
    <t>Rãnh xây đá (m)</t>
  </si>
  <si>
    <t>Hình chữ nhật (m)</t>
  </si>
  <si>
    <t>Hình thang (m)</t>
  </si>
  <si>
    <t>Hình tam giác (m)</t>
  </si>
  <si>
    <t>Rãnh bê tông (m)</t>
  </si>
  <si>
    <r>
      <rPr>
        <b/>
        <sz val="13"/>
        <color rgb="FF000000"/>
        <rFont val="Times New Roman"/>
        <family val="1"/>
        <charset val="163"/>
      </rPr>
      <t xml:space="preserve">                  4. Bảng số 04: bảng thống kê cống các loại:</t>
    </r>
    <r>
      <rPr>
        <sz val="13"/>
        <color rgb="FF000000"/>
        <rFont val="Times New Roman"/>
        <family val="1"/>
      </rPr>
      <t xml:space="preserve"> điền các thông tin về cống: Lý trình; khẩu độ; kết cấu cống; chiều dài cống; tải trọng; năm xây dựng; tình trạng hiện tại và cập nhật các hư hỏng, bổ sung các thông tin của cống</t>
    </r>
    <r>
      <rPr>
        <sz val="13"/>
        <color rgb="FF000000"/>
        <rFont val="Times New Roman"/>
        <family val="1"/>
        <charset val="163"/>
      </rPr>
      <t xml:space="preserve"> (</t>
    </r>
    <r>
      <rPr>
        <i/>
        <sz val="13"/>
        <color rgb="FF000000"/>
        <rFont val="Times New Roman"/>
        <family val="1"/>
        <charset val="163"/>
      </rPr>
      <t>Ghi rõ thông tin hư hỏng, bổ sung và ghi thời gian hư hỏng, bổ sung vào cột ghi chú</t>
    </r>
    <r>
      <rPr>
        <sz val="13"/>
        <color rgb="FF000000"/>
        <rFont val="Times New Roman"/>
        <family val="1"/>
        <charset val="163"/>
      </rPr>
      <t xml:space="preserve">) </t>
    </r>
  </si>
  <si>
    <r>
      <rPr>
        <b/>
        <sz val="13"/>
        <color rgb="FF000000"/>
        <rFont val="Times New Roman"/>
        <family val="1"/>
        <charset val="163"/>
      </rPr>
      <t xml:space="preserve">                  8. Bảng số 08: bảng thống kê lộ giới, mốc GPMB:</t>
    </r>
    <r>
      <rPr>
        <sz val="13"/>
        <color rgb="FF000000"/>
        <rFont val="Times New Roman"/>
        <family val="1"/>
      </rPr>
      <t xml:space="preserve"> điền các thông tin về mốc lộ giới, mốc giải phóng mặt bằng: Lý trình; vị trí; số lượng; diện tích </t>
    </r>
    <r>
      <rPr>
        <sz val="13"/>
        <color rgb="FF000000"/>
        <rFont val="Times New Roman"/>
        <family val="1"/>
        <charset val="163"/>
      </rPr>
      <t xml:space="preserve">và cập nhật các hư hỏng, bổ sung hệ thống hộ lan </t>
    </r>
    <r>
      <rPr>
        <i/>
        <sz val="13"/>
        <color rgb="FF000000"/>
        <rFont val="Times New Roman"/>
        <family val="1"/>
        <charset val="163"/>
      </rPr>
      <t xml:space="preserve">(Ghi rõ thông tin hư hỏng, bổ sung và ghi thời gian hư hỏng, bổ sung vào cột ghi chú) </t>
    </r>
  </si>
  <si>
    <r>
      <rPr>
        <b/>
        <sz val="13"/>
        <color rgb="FF000000"/>
        <rFont val="Times New Roman"/>
        <family val="1"/>
        <charset val="163"/>
      </rPr>
      <t xml:space="preserve">                  9. Bảng số 09: bảng thống kê kè, tường chắn:</t>
    </r>
    <r>
      <rPr>
        <sz val="13"/>
        <color rgb="FF000000"/>
        <rFont val="Times New Roman"/>
        <family val="1"/>
      </rPr>
      <t xml:space="preserve"> điền các thông tin về kè, tường chắn: Lý trình; vị trí; chiều dài; chiều rộng; chiều cao;  số lượng tấm bê tông; số lượng rọ thép; năm đưa vào sử dụng; tình trạng hiện tại </t>
    </r>
    <r>
      <rPr>
        <sz val="13"/>
        <color rgb="FF000000"/>
        <rFont val="Times New Roman"/>
        <family val="1"/>
        <charset val="163"/>
      </rPr>
      <t xml:space="preserve">và cập nhật các hư hỏng, bổ sung kè, tường chắn </t>
    </r>
    <r>
      <rPr>
        <i/>
        <sz val="13"/>
        <color rgb="FF000000"/>
        <rFont val="Times New Roman"/>
        <family val="1"/>
        <charset val="163"/>
      </rPr>
      <t xml:space="preserve">(Ghi rõ thông tin hư hỏng, bổ sung và ghi thời gian hư hỏng, bổ sung vào cột ghi chú) </t>
    </r>
  </si>
  <si>
    <r>
      <rPr>
        <b/>
        <sz val="13"/>
        <color rgb="FF000000"/>
        <rFont val="Times New Roman"/>
        <family val="1"/>
        <charset val="163"/>
      </rPr>
      <t xml:space="preserve">                  10. Bảng số 10: bảng thống kê rãnh dọc:</t>
    </r>
    <r>
      <rPr>
        <sz val="13"/>
        <color rgb="FF000000"/>
        <rFont val="Times New Roman"/>
        <family val="1"/>
      </rPr>
      <t xml:space="preserve"> điền các thông tin về rãnh dọc: Lý trình; vị trí; chiều dài </t>
    </r>
    <r>
      <rPr>
        <sz val="13"/>
        <color rgb="FF000000"/>
        <rFont val="Times New Roman"/>
        <family val="1"/>
        <charset val="163"/>
      </rPr>
      <t>và cập nhật các hư hỏng, bổ sung rãnh dọc</t>
    </r>
    <r>
      <rPr>
        <i/>
        <sz val="13"/>
        <color rgb="FF000000"/>
        <rFont val="Times New Roman"/>
        <family val="1"/>
        <charset val="163"/>
      </rPr>
      <t xml:space="preserve"> (Ghi rõ thông tin hư hỏng, bổ sung và ghi thời gian hư hỏng, bổ sung vào cột ghi chú) </t>
    </r>
  </si>
  <si>
    <r>
      <rPr>
        <b/>
        <sz val="13"/>
        <color rgb="FF000000"/>
        <rFont val="Times New Roman"/>
        <family val="1"/>
        <charset val="163"/>
      </rPr>
      <t xml:space="preserve">                  11. Bảng số 11: bảng thống kê lề đường, phát quang:</t>
    </r>
    <r>
      <rPr>
        <sz val="13"/>
        <color rgb="FF000000"/>
        <rFont val="Times New Roman"/>
        <family val="1"/>
      </rPr>
      <t xml:space="preserve"> điền các thông tin về lề đường, phát quang: Lý trình; vị trí; chiều dài lề đường; diện tích phát quang </t>
    </r>
    <r>
      <rPr>
        <sz val="13"/>
        <color rgb="FF000000"/>
        <rFont val="Times New Roman"/>
        <family val="1"/>
        <charset val="163"/>
      </rPr>
      <t>và cập nhật các hư hỏng, bổ sung lề đường</t>
    </r>
    <r>
      <rPr>
        <i/>
        <sz val="13"/>
        <color rgb="FF000000"/>
        <rFont val="Times New Roman"/>
        <family val="1"/>
        <charset val="163"/>
      </rPr>
      <t xml:space="preserve"> (Ghi rõ thông tin hư hỏng, bổ sung và ghi thời gian hư hỏng, bổ sung vào cột ghi chú) </t>
    </r>
  </si>
  <si>
    <r>
      <rPr>
        <b/>
        <sz val="13"/>
        <color rgb="FF000000"/>
        <rFont val="Times New Roman"/>
        <family val="1"/>
        <charset val="163"/>
      </rPr>
      <t xml:space="preserve">                  7. Bảng số 07: bảng thống kê chi tiết hệ thống hộ lan:</t>
    </r>
    <r>
      <rPr>
        <sz val="13"/>
        <color rgb="FF000000"/>
        <rFont val="Times New Roman"/>
        <family val="1"/>
      </rPr>
      <t xml:space="preserve"> điền các thông tin về hệ thống hộ lan: Lý trình; chiều dài; vị trí </t>
    </r>
    <r>
      <rPr>
        <sz val="13"/>
        <color rgb="FF000000"/>
        <rFont val="Times New Roman"/>
        <family val="1"/>
        <charset val="163"/>
      </rPr>
      <t>và cập nhật các hư hỏng, bổ sung hệ thống hộ lan</t>
    </r>
    <r>
      <rPr>
        <i/>
        <sz val="13"/>
        <color rgb="FF000000"/>
        <rFont val="Times New Roman"/>
        <family val="1"/>
        <charset val="163"/>
      </rPr>
      <t xml:space="preserve"> (Ghi rõ thông tin hư hỏng, bổ sung và ghi thời gian hư hỏng, bổ sung vào cột ghi chú) </t>
    </r>
  </si>
  <si>
    <r>
      <rPr>
        <b/>
        <sz val="13"/>
        <color rgb="FF000000"/>
        <rFont val="Times New Roman"/>
        <family val="1"/>
        <charset val="163"/>
      </rPr>
      <t xml:space="preserve">                  6. Bảng số 06: bảng thống kê các công trình ATGT:</t>
    </r>
    <r>
      <rPr>
        <sz val="13"/>
        <color rgb="FF000000"/>
        <rFont val="Times New Roman"/>
        <family val="1"/>
      </rPr>
      <t xml:space="preserve"> điền các thông tin về các công trình ATGT: Lý trình; số lượng, diện tích cọc tiêu, cọc H, cột Km; Vạch sơn kẻ đường</t>
    </r>
    <r>
      <rPr>
        <sz val="13"/>
        <color rgb="FF000000"/>
        <rFont val="Times New Roman"/>
        <family val="1"/>
        <charset val="163"/>
      </rPr>
      <t xml:space="preserve"> và cập nhật các hư hỏng, bổ sung các công trình ATGT</t>
    </r>
    <r>
      <rPr>
        <i/>
        <sz val="13"/>
        <color rgb="FF000000"/>
        <rFont val="Times New Roman"/>
        <family val="1"/>
        <charset val="163"/>
      </rPr>
      <t xml:space="preserve"> (Ghi rõ thông tin hư hỏng, bổ sung và ghi thời gian hư hỏng, bổ sung vào cột ghi chú) </t>
    </r>
  </si>
  <si>
    <r>
      <rPr>
        <b/>
        <sz val="13"/>
        <color rgb="FF000000"/>
        <rFont val="Times New Roman"/>
        <family val="1"/>
        <charset val="163"/>
      </rPr>
      <t xml:space="preserve">                  5. Bảng số 04: bảng thống kê hệ thống báo hiệu đường bộ:</t>
    </r>
    <r>
      <rPr>
        <sz val="13"/>
        <color rgb="FF000000"/>
        <rFont val="Times New Roman"/>
        <family val="1"/>
      </rPr>
      <t xml:space="preserve"> điền các thông tin về hệ thống báo hiệu đường bộ: Lý trình; vị trí; số hiệu biển; kích thước mặt biển; số cột</t>
    </r>
    <r>
      <rPr>
        <sz val="13"/>
        <color rgb="FF000000"/>
        <rFont val="Times New Roman"/>
        <family val="1"/>
        <charset val="163"/>
      </rPr>
      <t xml:space="preserve">; chiều dài cột; diện tích mặt biển, cột; gương cầu lồi và cập nhật các hư hỏng, bổ sung các hệ thống báo hiệu đường bộ </t>
    </r>
    <r>
      <rPr>
        <i/>
        <sz val="13"/>
        <color rgb="FF000000"/>
        <rFont val="Times New Roman"/>
        <family val="1"/>
        <charset val="163"/>
      </rPr>
      <t xml:space="preserve">(Ghi rõ thông tin hư hỏng, bổ sung và ghi thời gian hư hỏng, bổ sung vào cột ghi chú) </t>
    </r>
  </si>
  <si>
    <r>
      <rPr>
        <b/>
        <sz val="13"/>
        <color rgb="FF000000"/>
        <rFont val="Times New Roman"/>
        <family val="1"/>
        <charset val="163"/>
      </rPr>
      <t xml:space="preserve">                  3. Bảng số 03: bảng thống kê cầu: </t>
    </r>
    <r>
      <rPr>
        <sz val="13"/>
        <color rgb="FF000000"/>
        <rFont val="Times New Roman"/>
        <family val="1"/>
      </rPr>
      <t>điền các thông tin về cầu: Lý trình; tên cầu; tên đường; tên sông suối; địa danh (tỉnh), chiều dài cầu; chiều rộng cầu; bề rộng xe chạy; tĩnh không thông thuyền; kết cấu dầm nhịp; kết cấu phần dưới (Móng, mố, thân, trụ); tải trọng thiết kế, thực tế; năm xây dựng; năm khai thác; tình trạng cầu; gối cầu; lan can cầu; ống thoát nước; diện tích phát quang 2 đầu mố cầu; diện tích dầm thép liên hợp; diện tích đỉnh trụ; diện tích đỉnh mố</t>
    </r>
    <r>
      <rPr>
        <sz val="13"/>
        <color rgb="FF000000"/>
        <rFont val="Times New Roman"/>
        <family val="1"/>
        <charset val="163"/>
      </rPr>
      <t xml:space="preserve"> và cập nhật các hư hỏng, bổ sung các thông tin của cầu </t>
    </r>
    <r>
      <rPr>
        <i/>
        <sz val="13"/>
        <color rgb="FF000000"/>
        <rFont val="Times New Roman"/>
        <family val="1"/>
        <charset val="163"/>
      </rPr>
      <t xml:space="preserve">(Ghi rõ thông tin hư hỏng, bổ sung và ghi thời gian hư hỏng, bổ sung vào cột ghi chú) </t>
    </r>
  </si>
  <si>
    <r>
      <rPr>
        <b/>
        <sz val="13"/>
        <color rgb="FF000000"/>
        <rFont val="Times New Roman"/>
        <family val="1"/>
        <charset val="163"/>
      </rPr>
      <t xml:space="preserve">                  2. Bảng số 02: bảng thống kê phân loại mặt đường:</t>
    </r>
    <r>
      <rPr>
        <sz val="13"/>
        <color rgb="FF000000"/>
        <rFont val="Times New Roman"/>
        <family val="1"/>
      </rPr>
      <t xml:space="preserve"> điền các thông tin về mặt đường: bề rộng mặt đường; kết cấu mặt đường; cấp đường; đoạn bàn giao sang XDCB; năm XDCB gần nhất; chiều dài đoạn thị xã, thị tứ, dự án sửa chữa mặt đường mới.</t>
    </r>
  </si>
  <si>
    <r>
      <rPr>
        <b/>
        <sz val="13"/>
        <color rgb="FF000000"/>
        <rFont val="Times New Roman"/>
        <family val="1"/>
        <charset val="163"/>
      </rPr>
      <t xml:space="preserve">                  1. Bảng số 01: bảng tổng hợp số liệu quản lý đường:</t>
    </r>
    <r>
      <rPr>
        <sz val="13"/>
        <color rgb="FF000000"/>
        <rFont val="Times New Roman"/>
        <family val="1"/>
        <charset val="163"/>
      </rPr>
      <t xml:space="preserve"> Tổng hợp số liệu từ các bảng thống kê phân loại mặt đường; bảng thống kê cầu; bảng thống kê các loại cống; bảng thống kê hệ thống báo hiệu đường bộ; bảng thống kê các công trình ATGT; bảng thống kê chi tiết hệ thống hộ lan; bảng thống kê mốc lộ giới; mốc GPMB; bảng thống kê kè, tường chắn; bảng thống kê rãnh dọc; bảng thống kê khối lượng lề đường, phát quang</t>
    </r>
  </si>
  <si>
    <t xml:space="preserve">                1) Loại hồ sơ: Sổ theo dõi kết cấu hạ tầng giao thông (Khổ A4 ngang).</t>
  </si>
  <si>
    <t xml:space="preserve">                2) Bìa hồ sơ: Trên bìa hồ sơ ghi rõ tên đơn vị trúng thầu QL, BDTX; Tên hạt quản lý; Lý trình quản lý; Tên đường; Thời gian bắt đầu ghi chép từ ngày…./…/…; đến ngày…./…/….; địa điểm..năm ..........</t>
  </si>
  <si>
    <t xml:space="preserve">                3) Hướng dẫn ghi số.</t>
  </si>
  <si>
    <t xml:space="preserve">                4) Nội dung: Gồm 12 bảng tổng hợp, thể hiện trong sổ đầy đủ các thông tin liên quan đến kết cấu hạ tầng giao thông (Nền, mặt đường; cầu; cống; rãnh; hệ thống ATGT; ...) tình trạng; theo dõi đánh giá diễn biến của các loại kết cấu hạ tầng giao thông, ghi chép viết tay hoặc đánh máy (có mẫu hồ sơ quản lý đính kèm).</t>
  </si>
  <si>
    <r>
      <rPr>
        <b/>
        <sz val="13"/>
        <color rgb="FF000000"/>
        <rFont val="Times New Roman"/>
        <family val="1"/>
        <charset val="163"/>
      </rPr>
      <t xml:space="preserve">                  12. Bảng số 12: bảng thống kê chi tiết vị trí đấu nối:</t>
    </r>
    <r>
      <rPr>
        <sz val="13"/>
        <color rgb="FF000000"/>
        <rFont val="Times New Roman"/>
        <family val="1"/>
      </rPr>
      <t xml:space="preserve"> điền các thông tin về kè, tường chắn: Lý trình; vị trí; bề rộng nền đường; kết cấu mặt đường; ghi chú rõ đường đấu nối vào bản, trường, UBND xã, cây xăng … </t>
    </r>
    <r>
      <rPr>
        <sz val="13"/>
        <color rgb="FF000000"/>
        <rFont val="Times New Roman"/>
        <family val="1"/>
        <charset val="163"/>
      </rPr>
      <t>và đánh giá mức độ ảnh hưởng đến ATGT (nếu có), đề xuất biện pháp khắc phục</t>
    </r>
  </si>
  <si>
    <t>…….,Năm 2024</t>
  </si>
  <si>
    <t xml:space="preserve">                Căn cứ Nghị định 44/2024/ND-CP ngày 24/4/2024 quy định việc quản lý, sử dụng và khai thác tài sản kết cấu hạ tầng giao thông đường bộ;
                Căn cứ Thông tư số 41/2024/TT-BGTVT ngày 15/11/2024 của Bộ Giao thông vận tải (nay là Bộ Xây dựng) quy định về quản lý, vận hành, khai thác và bảo trì kết cấu hạ tầng đường bộ;
                Căn cứ Hợp đồng Bảo dưỡng thường xuyên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</si>
</sst>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quot;Km&quot;0\+000"/>
    <numFmt numFmtId="166" formatCode="_(* #,##0.0_);_(* \(#,##0.0\);_(* &quot;-&quot;??_);_(@_)"/>
    <numFmt numFmtId="167" formatCode="&quot;Km&quot;0&quot;+&quot;000"/>
    <numFmt numFmtId="168" formatCode="_(* #,##0_);_(* \(#,##0\);_(* \-??_);_(@_)"/>
  </numFmts>
  <fonts count="57">
    <font>
      <sz val="10"/>
      <name val="Times New Roman"/>
    </font>
    <font>
      <sz val="10"/>
      <name val="Times New Roman"/>
      <family val="1"/>
      <charset val="163"/>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4"/>
      <color indexed="8"/>
      <name val=".VnTime"/>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Times New Roman"/>
      <family val="1"/>
    </font>
    <font>
      <sz val="10"/>
      <name val="Times New Roman"/>
      <family val="1"/>
    </font>
    <font>
      <b/>
      <sz val="13"/>
      <name val="Times New Roman"/>
      <family val="1"/>
    </font>
    <font>
      <sz val="13"/>
      <name val="Times New Roman"/>
      <family val="1"/>
    </font>
    <font>
      <b/>
      <sz val="12"/>
      <name val="Times New Roman"/>
      <family val="1"/>
    </font>
    <font>
      <sz val="13"/>
      <name val=".VnTime"/>
      <family val="2"/>
    </font>
    <font>
      <sz val="10"/>
      <name val="Arial"/>
      <family val="2"/>
    </font>
    <font>
      <b/>
      <sz val="12"/>
      <name val="Calibri"/>
      <family val="2"/>
    </font>
    <font>
      <b/>
      <sz val="10"/>
      <name val="Times New Roman"/>
      <family val="1"/>
    </font>
    <font>
      <b/>
      <sz val="14"/>
      <name val="Times New Roman"/>
      <family val="1"/>
    </font>
    <font>
      <sz val="14"/>
      <name val="Times New Roman"/>
      <family val="1"/>
    </font>
    <font>
      <sz val="12"/>
      <name val="VNTime"/>
    </font>
    <font>
      <b/>
      <sz val="20"/>
      <name val="Times New Roman"/>
      <family val="1"/>
    </font>
    <font>
      <sz val="20"/>
      <name val="Times New Roman"/>
      <family val="1"/>
    </font>
    <font>
      <sz val="8"/>
      <name val="Times New Roman"/>
      <family val="1"/>
    </font>
    <font>
      <b/>
      <sz val="9"/>
      <name val="Times New Roman"/>
      <family val="1"/>
    </font>
    <font>
      <b/>
      <sz val="9"/>
      <color indexed="81"/>
      <name val="Tahoma"/>
      <family val="2"/>
    </font>
    <font>
      <sz val="9"/>
      <color indexed="81"/>
      <name val="Tahoma"/>
      <family val="2"/>
    </font>
    <font>
      <sz val="11"/>
      <color theme="1"/>
      <name val="Calibri"/>
      <family val="2"/>
      <charset val="163"/>
      <scheme val="minor"/>
    </font>
    <font>
      <sz val="13"/>
      <color rgb="FFFF0000"/>
      <name val="Times New Roman"/>
      <family val="1"/>
    </font>
    <font>
      <sz val="12"/>
      <color rgb="FFFF0000"/>
      <name val="Times New Roman"/>
      <family val="1"/>
    </font>
    <font>
      <sz val="11"/>
      <name val="Calibri"/>
      <family val="2"/>
      <scheme val="minor"/>
    </font>
    <font>
      <b/>
      <sz val="14"/>
      <color rgb="FF000000"/>
      <name val="Times New Roman"/>
      <family val="1"/>
    </font>
    <font>
      <b/>
      <sz val="15"/>
      <color rgb="FF000000"/>
      <name val="Times New Roman"/>
      <family val="1"/>
    </font>
    <font>
      <b/>
      <sz val="10"/>
      <color rgb="FF000000"/>
      <name val="Times New Roman"/>
      <family val="1"/>
    </font>
    <font>
      <sz val="10"/>
      <color rgb="FF000000"/>
      <name val="Times New Roman"/>
      <family val="1"/>
    </font>
    <font>
      <sz val="11"/>
      <color rgb="FF000000"/>
      <name val="Times New Roman"/>
      <family val="1"/>
    </font>
    <font>
      <b/>
      <sz val="14"/>
      <color theme="1"/>
      <name val="Times New Roman"/>
      <family val="1"/>
    </font>
    <font>
      <sz val="14"/>
      <color theme="1"/>
      <name val="Times New Roman"/>
      <family val="1"/>
    </font>
    <font>
      <b/>
      <sz val="13"/>
      <color theme="1"/>
      <name val="Times New Roman"/>
      <family val="1"/>
    </font>
    <font>
      <sz val="13"/>
      <color rgb="FF000000"/>
      <name val="Times New Roman"/>
      <family val="1"/>
    </font>
    <font>
      <b/>
      <sz val="13"/>
      <color rgb="FF000000"/>
      <name val="Times New Roman"/>
      <family val="1"/>
      <charset val="163"/>
    </font>
    <font>
      <sz val="13"/>
      <color rgb="FF000000"/>
      <name val="Times New Roman"/>
      <family val="1"/>
      <charset val="163"/>
    </font>
    <font>
      <i/>
      <sz val="14"/>
      <color theme="1"/>
      <name val="Times New Roman"/>
      <family val="1"/>
      <charset val="163"/>
    </font>
    <font>
      <i/>
      <sz val="13"/>
      <color rgb="FF000000"/>
      <name val="Times New Roman"/>
      <family val="1"/>
      <charset val="163"/>
    </font>
    <font>
      <b/>
      <sz val="13"/>
      <name val="Times New Roman"/>
      <family val="1"/>
      <charset val="163"/>
    </font>
    <font>
      <sz val="13"/>
      <color theme="1"/>
      <name val="Times New Roman"/>
      <family val="1"/>
      <charset val="163"/>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3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s>
  <cellStyleXfs count="51">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6"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25" fillId="0" borderId="0"/>
    <xf numFmtId="0" fontId="26" fillId="0" borderId="0"/>
    <xf numFmtId="0" fontId="25" fillId="0" borderId="0"/>
    <xf numFmtId="0" fontId="38" fillId="0" borderId="0"/>
    <xf numFmtId="0" fontId="26" fillId="0" borderId="0"/>
    <xf numFmtId="0" fontId="31" fillId="0" borderId="0"/>
    <xf numFmtId="0" fontId="7"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208">
    <xf numFmtId="0" fontId="0" fillId="0" borderId="0" xfId="0"/>
    <xf numFmtId="0" fontId="21" fillId="0" borderId="0" xfId="0" applyFont="1" applyAlignment="1">
      <alignment horizontal="center" vertical="center"/>
    </xf>
    <xf numFmtId="0" fontId="23" fillId="0" borderId="0" xfId="0" applyFont="1"/>
    <xf numFmtId="0" fontId="24" fillId="0" borderId="10" xfId="0" applyFont="1" applyBorder="1" applyAlignment="1">
      <alignment horizontal="center" vertical="center" wrapText="1"/>
    </xf>
    <xf numFmtId="0" fontId="24" fillId="0" borderId="10" xfId="0" applyFont="1" applyBorder="1" applyAlignment="1">
      <alignment horizontal="center" vertical="center"/>
    </xf>
    <xf numFmtId="166" fontId="24" fillId="0" borderId="10" xfId="27" applyNumberFormat="1" applyFont="1" applyBorder="1" applyAlignment="1">
      <alignment horizontal="center" vertical="center"/>
    </xf>
    <xf numFmtId="0" fontId="21" fillId="0" borderId="10" xfId="0" applyFont="1" applyBorder="1" applyAlignment="1">
      <alignment horizontal="center" vertical="center"/>
    </xf>
    <xf numFmtId="0" fontId="22" fillId="0" borderId="0" xfId="0" applyFont="1" applyAlignment="1">
      <alignment horizontal="center"/>
    </xf>
    <xf numFmtId="166" fontId="24" fillId="0" borderId="10" xfId="27" applyNumberFormat="1" applyFont="1" applyBorder="1" applyAlignment="1">
      <alignment horizontal="center" vertical="center" wrapText="1"/>
    </xf>
    <xf numFmtId="0" fontId="24" fillId="0" borderId="10" xfId="0" applyFont="1" applyBorder="1" applyAlignment="1">
      <alignment vertical="center" wrapText="1"/>
    </xf>
    <xf numFmtId="0" fontId="28" fillId="0" borderId="10" xfId="0" applyFont="1" applyBorder="1" applyAlignment="1">
      <alignment horizontal="center" vertical="center"/>
    </xf>
    <xf numFmtId="167" fontId="21" fillId="0" borderId="10" xfId="0" applyNumberFormat="1" applyFont="1" applyBorder="1" applyAlignment="1">
      <alignment horizontal="center" vertical="center"/>
    </xf>
    <xf numFmtId="167" fontId="28" fillId="0" borderId="10" xfId="0" applyNumberFormat="1" applyFont="1" applyBorder="1" applyAlignment="1">
      <alignment horizontal="center" vertical="center"/>
    </xf>
    <xf numFmtId="0" fontId="28" fillId="0" borderId="0" xfId="0" applyFont="1" applyAlignment="1">
      <alignment horizontal="center" vertical="center"/>
    </xf>
    <xf numFmtId="43" fontId="28" fillId="0" borderId="10" xfId="27" applyFont="1" applyBorder="1" applyAlignment="1">
      <alignment horizontal="center" vertical="center"/>
    </xf>
    <xf numFmtId="164" fontId="28" fillId="0" borderId="10" xfId="27" applyNumberFormat="1" applyFont="1" applyBorder="1" applyAlignment="1">
      <alignment horizontal="center" vertical="center"/>
    </xf>
    <xf numFmtId="164" fontId="28" fillId="0" borderId="10" xfId="0" applyNumberFormat="1" applyFont="1" applyBorder="1" applyAlignment="1">
      <alignment horizontal="center" vertical="center"/>
    </xf>
    <xf numFmtId="0" fontId="23" fillId="0" borderId="0" xfId="0" applyFont="1" applyAlignment="1">
      <alignment horizontal="center"/>
    </xf>
    <xf numFmtId="0" fontId="22" fillId="0" borderId="0" xfId="0" applyFont="1"/>
    <xf numFmtId="0" fontId="23" fillId="0" borderId="13" xfId="0" applyFont="1" applyBorder="1" applyAlignment="1">
      <alignment horizontal="center" vertical="center"/>
    </xf>
    <xf numFmtId="0" fontId="23" fillId="0" borderId="13" xfId="0" applyFont="1" applyBorder="1"/>
    <xf numFmtId="0" fontId="23" fillId="0" borderId="13" xfId="0" applyFont="1" applyBorder="1" applyAlignment="1">
      <alignment horizontal="center"/>
    </xf>
    <xf numFmtId="0" fontId="24" fillId="0" borderId="14" xfId="0" applyFont="1" applyBorder="1" applyAlignment="1">
      <alignment horizontal="center" vertical="center"/>
    </xf>
    <xf numFmtId="0" fontId="23" fillId="0" borderId="15" xfId="0" applyFont="1" applyBorder="1" applyAlignment="1">
      <alignment horizontal="center" vertical="center"/>
    </xf>
    <xf numFmtId="165" fontId="20" fillId="0" borderId="15" xfId="0" applyNumberFormat="1" applyFont="1" applyBorder="1" applyAlignment="1">
      <alignment horizontal="left" vertical="center"/>
    </xf>
    <xf numFmtId="0" fontId="23" fillId="0" borderId="15" xfId="0" applyFont="1" applyBorder="1" applyAlignment="1">
      <alignment horizontal="center"/>
    </xf>
    <xf numFmtId="0" fontId="23" fillId="0" borderId="15" xfId="0" applyFont="1" applyBorder="1"/>
    <xf numFmtId="0" fontId="23" fillId="0" borderId="16" xfId="0" applyFont="1" applyBorder="1" applyAlignment="1">
      <alignment horizontal="center" vertical="center"/>
    </xf>
    <xf numFmtId="165" fontId="20" fillId="0" borderId="16" xfId="0" applyNumberFormat="1" applyFont="1" applyBorder="1" applyAlignment="1">
      <alignment horizontal="left" vertical="center"/>
    </xf>
    <xf numFmtId="0" fontId="23" fillId="0" borderId="16" xfId="0" applyFont="1" applyBorder="1" applyAlignment="1">
      <alignment horizontal="center"/>
    </xf>
    <xf numFmtId="0" fontId="23" fillId="0" borderId="16" xfId="0" applyFont="1" applyBorder="1"/>
    <xf numFmtId="0" fontId="39" fillId="0" borderId="16" xfId="0" applyFont="1" applyBorder="1" applyAlignment="1">
      <alignment horizontal="center" vertical="center"/>
    </xf>
    <xf numFmtId="165" fontId="40" fillId="0" borderId="16" xfId="0" applyNumberFormat="1" applyFont="1" applyBorder="1" applyAlignment="1">
      <alignment horizontal="left" vertical="center"/>
    </xf>
    <xf numFmtId="0" fontId="39" fillId="0" borderId="16" xfId="0" applyFont="1" applyBorder="1" applyAlignment="1">
      <alignment horizontal="center"/>
    </xf>
    <xf numFmtId="0" fontId="39" fillId="0" borderId="16" xfId="0" applyFont="1" applyBorder="1"/>
    <xf numFmtId="165" fontId="20" fillId="0" borderId="17" xfId="0" applyNumberFormat="1" applyFont="1" applyBorder="1" applyAlignment="1">
      <alignment horizontal="left" vertical="center"/>
    </xf>
    <xf numFmtId="0" fontId="23" fillId="0" borderId="17" xfId="0" applyFont="1" applyBorder="1" applyAlignment="1">
      <alignment horizontal="center"/>
    </xf>
    <xf numFmtId="0" fontId="23" fillId="0" borderId="17" xfId="0" applyFont="1" applyBorder="1"/>
    <xf numFmtId="0" fontId="23" fillId="0" borderId="18" xfId="0" applyFont="1" applyBorder="1" applyAlignment="1">
      <alignment horizontal="center" vertical="center"/>
    </xf>
    <xf numFmtId="165" fontId="20" fillId="0" borderId="18" xfId="0" applyNumberFormat="1" applyFont="1" applyBorder="1" applyAlignment="1">
      <alignment horizontal="left" vertical="center"/>
    </xf>
    <xf numFmtId="0" fontId="23" fillId="0" borderId="18" xfId="0" applyFont="1" applyBorder="1" applyAlignment="1">
      <alignment horizontal="center"/>
    </xf>
    <xf numFmtId="0" fontId="23" fillId="0" borderId="18" xfId="0" applyFont="1" applyBorder="1"/>
    <xf numFmtId="0" fontId="23" fillId="0" borderId="0" xfId="0" applyFont="1" applyAlignment="1">
      <alignment horizontal="center" vertical="center"/>
    </xf>
    <xf numFmtId="165" fontId="20" fillId="0" borderId="0" xfId="0" applyNumberFormat="1" applyFont="1" applyAlignment="1">
      <alignment horizontal="left" vertical="center"/>
    </xf>
    <xf numFmtId="0" fontId="21" fillId="0" borderId="0" xfId="0" applyFont="1" applyAlignment="1">
      <alignment horizontal="center"/>
    </xf>
    <xf numFmtId="0" fontId="21" fillId="0" borderId="0" xfId="44" applyFont="1"/>
    <xf numFmtId="0" fontId="41" fillId="0" borderId="0" xfId="41" applyFont="1"/>
    <xf numFmtId="0" fontId="21" fillId="0" borderId="19" xfId="44" applyFont="1" applyBorder="1"/>
    <xf numFmtId="0" fontId="21" fillId="0" borderId="20" xfId="44" applyFont="1" applyBorder="1"/>
    <xf numFmtId="0" fontId="29" fillId="0" borderId="19" xfId="41" applyFont="1" applyBorder="1" applyAlignment="1">
      <alignment horizontal="center"/>
    </xf>
    <xf numFmtId="0" fontId="30" fillId="0" borderId="0" xfId="41" applyFont="1" applyAlignment="1">
      <alignment horizontal="center"/>
    </xf>
    <xf numFmtId="0" fontId="30" fillId="0" borderId="20" xfId="41" applyFont="1" applyBorder="1" applyAlignment="1">
      <alignment horizontal="center"/>
    </xf>
    <xf numFmtId="3" fontId="21" fillId="0" borderId="0" xfId="44" applyNumberFormat="1" applyFont="1"/>
    <xf numFmtId="0" fontId="20" fillId="0" borderId="19" xfId="45" applyFont="1" applyBorder="1" applyAlignment="1">
      <alignment horizontal="center"/>
    </xf>
    <xf numFmtId="0" fontId="20" fillId="0" borderId="0" xfId="45" applyFont="1" applyAlignment="1">
      <alignment horizontal="center"/>
    </xf>
    <xf numFmtId="0" fontId="20" fillId="0" borderId="20" xfId="45" applyFont="1" applyBorder="1" applyAlignment="1">
      <alignment horizontal="center"/>
    </xf>
    <xf numFmtId="0" fontId="30" fillId="0" borderId="19" xfId="45" applyFont="1" applyBorder="1"/>
    <xf numFmtId="0" fontId="30" fillId="0" borderId="0" xfId="45" applyFont="1"/>
    <xf numFmtId="3" fontId="30" fillId="0" borderId="0" xfId="45" applyNumberFormat="1" applyFont="1"/>
    <xf numFmtId="0" fontId="30" fillId="0" borderId="20" xfId="45" applyFont="1" applyBorder="1"/>
    <xf numFmtId="0" fontId="30" fillId="0" borderId="0" xfId="44" applyFont="1"/>
    <xf numFmtId="0" fontId="20" fillId="0" borderId="19" xfId="45" applyFont="1" applyBorder="1"/>
    <xf numFmtId="0" fontId="20" fillId="0" borderId="0" xfId="45" applyFont="1"/>
    <xf numFmtId="0" fontId="34" fillId="0" borderId="0" xfId="44" applyFont="1"/>
    <xf numFmtId="0" fontId="35" fillId="0" borderId="0" xfId="45" applyFont="1" applyAlignment="1">
      <alignment horizontal="center"/>
    </xf>
    <xf numFmtId="0" fontId="34" fillId="0" borderId="0" xfId="45" applyFont="1"/>
    <xf numFmtId="0" fontId="20" fillId="0" borderId="20" xfId="45" applyFont="1" applyBorder="1"/>
    <xf numFmtId="0" fontId="21" fillId="0" borderId="21" xfId="44" applyFont="1" applyBorder="1"/>
    <xf numFmtId="0" fontId="21" fillId="0" borderId="22" xfId="44" applyFont="1" applyBorder="1"/>
    <xf numFmtId="0" fontId="34" fillId="0" borderId="22" xfId="44" applyFont="1" applyBorder="1"/>
    <xf numFmtId="0" fontId="20" fillId="0" borderId="22" xfId="45" applyFont="1" applyBorder="1" applyAlignment="1">
      <alignment horizontal="center"/>
    </xf>
    <xf numFmtId="0" fontId="21" fillId="0" borderId="23" xfId="44" applyFont="1" applyBorder="1"/>
    <xf numFmtId="0" fontId="30" fillId="0" borderId="0" xfId="0" applyFont="1" applyAlignment="1">
      <alignment horizontal="center"/>
    </xf>
    <xf numFmtId="0" fontId="30" fillId="0" borderId="0" xfId="0" applyFont="1"/>
    <xf numFmtId="0" fontId="29" fillId="0" borderId="0" xfId="0" applyFont="1" applyAlignment="1">
      <alignment horizontal="center"/>
    </xf>
    <xf numFmtId="0" fontId="42" fillId="0" borderId="0" xfId="0" applyFont="1" applyAlignment="1">
      <alignment horizontal="center" vertical="center" wrapText="1"/>
    </xf>
    <xf numFmtId="0" fontId="43" fillId="0" borderId="0" xfId="0" applyFont="1" applyAlignment="1">
      <alignment horizontal="center" vertical="top" wrapText="1"/>
    </xf>
    <xf numFmtId="0" fontId="43" fillId="0" borderId="0" xfId="0" applyFont="1" applyAlignment="1">
      <alignment horizontal="center" vertical="center" wrapText="1"/>
    </xf>
    <xf numFmtId="0" fontId="44" fillId="0" borderId="24" xfId="0" applyFont="1" applyBorder="1" applyAlignment="1">
      <alignment horizontal="center" vertical="center" wrapText="1"/>
    </xf>
    <xf numFmtId="0" fontId="44" fillId="0" borderId="25" xfId="0" applyFont="1" applyBorder="1" applyAlignment="1">
      <alignment horizontal="center" vertical="center" wrapText="1"/>
    </xf>
    <xf numFmtId="0" fontId="44" fillId="0" borderId="26" xfId="0" applyFont="1" applyBorder="1" applyAlignment="1">
      <alignment horizontal="center" vertical="center" wrapText="1"/>
    </xf>
    <xf numFmtId="0" fontId="45" fillId="0" borderId="27" xfId="0" applyFont="1" applyBorder="1" applyAlignment="1">
      <alignment horizontal="center" vertical="center" wrapText="1"/>
    </xf>
    <xf numFmtId="0" fontId="45" fillId="0" borderId="15" xfId="0" applyFont="1" applyBorder="1" applyAlignment="1">
      <alignment horizontal="center" vertical="center" wrapText="1"/>
    </xf>
    <xf numFmtId="0" fontId="45" fillId="0" borderId="15" xfId="0" applyFont="1" applyBorder="1" applyAlignment="1">
      <alignment horizontal="center" vertical="center"/>
    </xf>
    <xf numFmtId="0" fontId="46" fillId="0" borderId="28" xfId="0" applyFont="1" applyBorder="1" applyAlignment="1">
      <alignment horizontal="center" vertical="center"/>
    </xf>
    <xf numFmtId="0" fontId="45" fillId="0" borderId="29" xfId="0" applyFont="1" applyBorder="1" applyAlignment="1">
      <alignment horizontal="center" vertical="center" wrapText="1"/>
    </xf>
    <xf numFmtId="0" fontId="45" fillId="0" borderId="30" xfId="0" applyFont="1" applyBorder="1" applyAlignment="1">
      <alignment horizontal="center" vertical="center" wrapText="1"/>
    </xf>
    <xf numFmtId="0" fontId="45" fillId="0" borderId="30" xfId="0" applyFont="1" applyBorder="1" applyAlignment="1">
      <alignment horizontal="center" vertical="center"/>
    </xf>
    <xf numFmtId="168" fontId="45" fillId="0" borderId="30" xfId="27" applyNumberFormat="1" applyFont="1" applyBorder="1" applyAlignment="1" applyProtection="1">
      <alignment horizontal="center" vertical="center" wrapText="1"/>
    </xf>
    <xf numFmtId="168" fontId="45" fillId="0" borderId="31" xfId="27" applyNumberFormat="1" applyFont="1" applyBorder="1" applyAlignment="1" applyProtection="1">
      <alignment horizontal="center" vertical="center" wrapText="1"/>
    </xf>
    <xf numFmtId="0" fontId="45" fillId="0" borderId="10" xfId="0" applyFont="1" applyBorder="1" applyAlignment="1">
      <alignment horizontal="center" vertical="center" wrapText="1"/>
    </xf>
    <xf numFmtId="0" fontId="23" fillId="0" borderId="0" xfId="0" applyFont="1" applyAlignment="1">
      <alignment vertical="center"/>
    </xf>
    <xf numFmtId="0" fontId="45" fillId="0" borderId="0" xfId="0" applyFont="1" applyAlignment="1">
      <alignment horizontal="center" vertical="center" wrapText="1"/>
    </xf>
    <xf numFmtId="0" fontId="44" fillId="0" borderId="10" xfId="0" applyFont="1" applyBorder="1" applyAlignment="1">
      <alignment horizontal="center" vertical="center" wrapText="1"/>
    </xf>
    <xf numFmtId="0" fontId="28" fillId="0" borderId="10" xfId="0" applyFont="1" applyBorder="1" applyAlignment="1">
      <alignment horizontal="center" vertical="center" textRotation="90" wrapText="1"/>
    </xf>
    <xf numFmtId="0" fontId="20" fillId="0" borderId="0" xfId="0" applyFont="1"/>
    <xf numFmtId="0" fontId="24" fillId="0" borderId="30" xfId="0" applyFont="1" applyBorder="1" applyAlignment="1">
      <alignment horizontal="center" vertical="center" wrapText="1"/>
    </xf>
    <xf numFmtId="0" fontId="24" fillId="0" borderId="25" xfId="0" applyFont="1" applyBorder="1" applyAlignment="1">
      <alignment horizontal="center" vertical="center"/>
    </xf>
    <xf numFmtId="0" fontId="22" fillId="0" borderId="16" xfId="0" applyFont="1" applyBorder="1" applyAlignment="1">
      <alignment horizontal="center" vertical="center"/>
    </xf>
    <xf numFmtId="165" fontId="24" fillId="0" borderId="16" xfId="0" applyNumberFormat="1" applyFont="1" applyBorder="1" applyAlignment="1">
      <alignment horizontal="left" vertical="center"/>
    </xf>
    <xf numFmtId="0" fontId="22" fillId="0" borderId="16" xfId="0" applyFont="1" applyBorder="1" applyAlignment="1">
      <alignment horizontal="center"/>
    </xf>
    <xf numFmtId="0" fontId="22" fillId="0" borderId="16" xfId="0" applyFont="1" applyBorder="1"/>
    <xf numFmtId="167" fontId="28" fillId="0" borderId="10" xfId="0" applyNumberFormat="1" applyFont="1" applyBorder="1" applyAlignment="1">
      <alignment horizontal="left" vertical="center"/>
    </xf>
    <xf numFmtId="0" fontId="0" fillId="0" borderId="10" xfId="0" applyBorder="1"/>
    <xf numFmtId="167" fontId="28" fillId="0" borderId="11" xfId="0" applyNumberFormat="1" applyFont="1" applyBorder="1" applyAlignment="1">
      <alignment vertical="center"/>
    </xf>
    <xf numFmtId="167" fontId="28" fillId="0" borderId="32" xfId="0" applyNumberFormat="1" applyFont="1" applyBorder="1" applyAlignment="1">
      <alignment vertical="center"/>
    </xf>
    <xf numFmtId="167" fontId="28" fillId="0" borderId="12" xfId="0" applyNumberFormat="1" applyFont="1" applyBorder="1" applyAlignment="1">
      <alignment vertical="center"/>
    </xf>
    <xf numFmtId="167" fontId="21" fillId="0" borderId="11" xfId="0" applyNumberFormat="1" applyFont="1" applyBorder="1" applyAlignment="1">
      <alignment horizontal="center" vertical="center"/>
    </xf>
    <xf numFmtId="167" fontId="21" fillId="0" borderId="12" xfId="0" applyNumberFormat="1" applyFont="1" applyBorder="1" applyAlignment="1">
      <alignment horizontal="center" vertical="center"/>
    </xf>
    <xf numFmtId="0" fontId="24" fillId="0" borderId="10" xfId="0" applyFont="1" applyBorder="1" applyAlignment="1">
      <alignment horizontal="center" vertical="center" textRotation="90"/>
    </xf>
    <xf numFmtId="0" fontId="24" fillId="0" borderId="10" xfId="0" applyFont="1" applyBorder="1" applyAlignment="1">
      <alignment horizontal="center" vertical="center" textRotation="90" wrapText="1"/>
    </xf>
    <xf numFmtId="165" fontId="45" fillId="0" borderId="15" xfId="0" applyNumberFormat="1" applyFont="1" applyBorder="1" applyAlignment="1">
      <alignment horizontal="center" vertical="center" wrapText="1"/>
    </xf>
    <xf numFmtId="165" fontId="45" fillId="0" borderId="15" xfId="0" applyNumberFormat="1" applyFont="1" applyBorder="1" applyAlignment="1">
      <alignment horizontal="center" vertical="center"/>
    </xf>
    <xf numFmtId="0" fontId="45" fillId="0" borderId="10" xfId="0" applyFont="1" applyBorder="1" applyAlignment="1">
      <alignment horizontal="center" vertical="center"/>
    </xf>
    <xf numFmtId="168" fontId="45" fillId="0" borderId="10" xfId="27" applyNumberFormat="1" applyFont="1" applyBorder="1" applyAlignment="1" applyProtection="1">
      <alignment horizontal="center" vertical="center" wrapText="1"/>
    </xf>
    <xf numFmtId="0" fontId="46" fillId="0" borderId="10" xfId="0" applyFont="1" applyBorder="1" applyAlignment="1">
      <alignment horizontal="center" vertical="center"/>
    </xf>
    <xf numFmtId="0" fontId="45" fillId="0" borderId="10" xfId="0" applyFont="1" applyBorder="1" applyAlignment="1">
      <alignment vertical="center" wrapText="1"/>
    </xf>
    <xf numFmtId="0" fontId="28" fillId="0" borderId="10" xfId="0" applyFont="1" applyBorder="1" applyAlignment="1">
      <alignment vertical="center"/>
    </xf>
    <xf numFmtId="0" fontId="0" fillId="0" borderId="0" xfId="0" applyAlignment="1">
      <alignment vertical="center"/>
    </xf>
    <xf numFmtId="0" fontId="0" fillId="24" borderId="0" xfId="0" applyFill="1" applyAlignment="1">
      <alignment vertical="center"/>
    </xf>
    <xf numFmtId="0" fontId="24" fillId="24" borderId="10" xfId="0" applyFont="1" applyFill="1" applyBorder="1" applyAlignment="1">
      <alignment horizontal="center" vertical="center"/>
    </xf>
    <xf numFmtId="0" fontId="21" fillId="24" borderId="0" xfId="0" applyFont="1" applyFill="1" applyAlignment="1">
      <alignment horizontal="center" vertical="center"/>
    </xf>
    <xf numFmtId="0" fontId="28" fillId="24" borderId="10" xfId="0" applyFont="1" applyFill="1" applyBorder="1" applyAlignment="1">
      <alignment horizontal="center" vertical="center"/>
    </xf>
    <xf numFmtId="49" fontId="28" fillId="24" borderId="10" xfId="0" applyNumberFormat="1" applyFont="1" applyFill="1" applyBorder="1" applyAlignment="1">
      <alignment vertical="center"/>
    </xf>
    <xf numFmtId="0" fontId="28" fillId="24" borderId="0" xfId="0" applyFont="1" applyFill="1" applyAlignment="1">
      <alignment horizontal="center" vertical="center"/>
    </xf>
    <xf numFmtId="167" fontId="28" fillId="24" borderId="10" xfId="0" applyNumberFormat="1" applyFont="1" applyFill="1" applyBorder="1" applyAlignment="1">
      <alignment horizontal="center" vertical="center"/>
    </xf>
    <xf numFmtId="49" fontId="28" fillId="24" borderId="10" xfId="0" applyNumberFormat="1" applyFont="1" applyFill="1" applyBorder="1" applyAlignment="1">
      <alignment horizontal="center" vertical="center"/>
    </xf>
    <xf numFmtId="0" fontId="21" fillId="24" borderId="10" xfId="0" applyFont="1" applyFill="1" applyBorder="1" applyAlignment="1">
      <alignment horizontal="center" vertical="center"/>
    </xf>
    <xf numFmtId="167" fontId="21" fillId="24" borderId="10" xfId="0" applyNumberFormat="1" applyFont="1" applyFill="1" applyBorder="1" applyAlignment="1">
      <alignment horizontal="center" vertical="center"/>
    </xf>
    <xf numFmtId="49" fontId="21" fillId="24" borderId="10" xfId="0" applyNumberFormat="1" applyFont="1" applyFill="1" applyBorder="1" applyAlignment="1">
      <alignment horizontal="center" vertical="center"/>
    </xf>
    <xf numFmtId="167" fontId="28" fillId="24" borderId="11" xfId="0" applyNumberFormat="1" applyFont="1" applyFill="1" applyBorder="1" applyAlignment="1">
      <alignment vertical="center"/>
    </xf>
    <xf numFmtId="167" fontId="28" fillId="24" borderId="12" xfId="0" applyNumberFormat="1" applyFont="1" applyFill="1" applyBorder="1" applyAlignment="1">
      <alignment vertical="center"/>
    </xf>
    <xf numFmtId="0" fontId="0" fillId="24" borderId="10" xfId="0" applyFill="1" applyBorder="1"/>
    <xf numFmtId="167" fontId="28" fillId="24" borderId="10" xfId="0" applyNumberFormat="1" applyFont="1" applyFill="1" applyBorder="1" applyAlignment="1">
      <alignment vertical="center"/>
    </xf>
    <xf numFmtId="0" fontId="0" fillId="24" borderId="0" xfId="0" applyFill="1"/>
    <xf numFmtId="0" fontId="47" fillId="0" borderId="0" xfId="0" applyFont="1" applyAlignment="1">
      <alignment horizontal="center" vertical="center"/>
    </xf>
    <xf numFmtId="0" fontId="53" fillId="0" borderId="0" xfId="0" applyFont="1" applyAlignment="1">
      <alignment horizontal="left" vertical="center" wrapText="1"/>
    </xf>
    <xf numFmtId="0" fontId="42" fillId="0" borderId="0" xfId="0" applyFont="1" applyAlignment="1">
      <alignment vertical="center" wrapText="1"/>
    </xf>
    <xf numFmtId="0" fontId="47" fillId="0" borderId="19" xfId="0" applyFont="1" applyBorder="1" applyAlignment="1">
      <alignment horizontal="center" vertical="center"/>
    </xf>
    <xf numFmtId="0" fontId="47" fillId="0" borderId="0" xfId="0" applyFont="1" applyAlignment="1">
      <alignment horizontal="center" vertical="center"/>
    </xf>
    <xf numFmtId="0" fontId="47" fillId="0" borderId="20" xfId="0" applyFont="1" applyBorder="1" applyAlignment="1">
      <alignment horizontal="center" vertical="center"/>
    </xf>
    <xf numFmtId="0" fontId="34" fillId="0" borderId="19" xfId="45" applyFont="1" applyBorder="1" applyAlignment="1">
      <alignment horizontal="center"/>
    </xf>
    <xf numFmtId="0" fontId="34" fillId="0" borderId="0" xfId="45" applyFont="1" applyAlignment="1">
      <alignment horizontal="center"/>
    </xf>
    <xf numFmtId="0" fontId="34" fillId="0" borderId="20" xfId="45" applyFont="1" applyBorder="1" applyAlignment="1">
      <alignment horizontal="center"/>
    </xf>
    <xf numFmtId="0" fontId="48" fillId="0" borderId="19" xfId="0" applyFont="1" applyBorder="1" applyAlignment="1">
      <alignment horizontal="left"/>
    </xf>
    <xf numFmtId="0" fontId="48" fillId="0" borderId="0" xfId="0" applyFont="1" applyAlignment="1">
      <alignment horizontal="left"/>
    </xf>
    <xf numFmtId="0" fontId="48" fillId="0" borderId="20" xfId="0" applyFont="1" applyBorder="1" applyAlignment="1">
      <alignment horizontal="left"/>
    </xf>
    <xf numFmtId="0" fontId="32" fillId="0" borderId="19" xfId="45" applyFont="1" applyBorder="1" applyAlignment="1">
      <alignment horizontal="center" vertical="center"/>
    </xf>
    <xf numFmtId="0" fontId="33" fillId="0" borderId="0" xfId="45" applyFont="1" applyAlignment="1">
      <alignment horizontal="center" vertical="center"/>
    </xf>
    <xf numFmtId="0" fontId="33" fillId="0" borderId="20" xfId="45" applyFont="1" applyBorder="1" applyAlignment="1">
      <alignment horizontal="center" vertical="center"/>
    </xf>
    <xf numFmtId="0" fontId="47" fillId="0" borderId="33" xfId="0" applyFont="1" applyBorder="1" applyAlignment="1">
      <alignment horizontal="center"/>
    </xf>
    <xf numFmtId="0" fontId="47" fillId="0" borderId="34" xfId="0" applyFont="1" applyBorder="1" applyAlignment="1">
      <alignment horizontal="center"/>
    </xf>
    <xf numFmtId="0" fontId="47" fillId="0" borderId="35" xfId="0" applyFont="1" applyBorder="1" applyAlignment="1">
      <alignment horizontal="center"/>
    </xf>
    <xf numFmtId="0" fontId="29" fillId="0" borderId="19" xfId="41" applyFont="1" applyBorder="1" applyAlignment="1">
      <alignment horizontal="center"/>
    </xf>
    <xf numFmtId="0" fontId="30" fillId="0" borderId="0" xfId="41" applyFont="1" applyAlignment="1">
      <alignment horizontal="center"/>
    </xf>
    <xf numFmtId="0" fontId="30" fillId="0" borderId="20" xfId="41" applyFont="1" applyBorder="1" applyAlignment="1">
      <alignment horizontal="center"/>
    </xf>
    <xf numFmtId="0" fontId="29" fillId="0" borderId="0" xfId="41" applyFont="1" applyAlignment="1">
      <alignment horizontal="center"/>
    </xf>
    <xf numFmtId="0" fontId="29" fillId="0" borderId="20" xfId="41" applyFont="1" applyBorder="1" applyAlignment="1">
      <alignment horizontal="center"/>
    </xf>
    <xf numFmtId="0" fontId="52" fillId="0" borderId="0" xfId="0" applyFont="1" applyAlignment="1">
      <alignment horizontal="justify" vertical="center" wrapText="1"/>
    </xf>
    <xf numFmtId="0" fontId="50" fillId="0" borderId="0" xfId="0" applyFont="1" applyAlignment="1">
      <alignment horizontal="justify" vertical="center" wrapText="1"/>
    </xf>
    <xf numFmtId="0" fontId="49" fillId="0" borderId="0" xfId="0" applyFont="1" applyAlignment="1">
      <alignment horizontal="left" vertical="center"/>
    </xf>
    <xf numFmtId="0" fontId="50" fillId="0" borderId="0" xfId="0" quotePrefix="1" applyFont="1" applyAlignment="1">
      <alignment horizontal="justify" vertical="center" wrapText="1"/>
    </xf>
    <xf numFmtId="0" fontId="53" fillId="0" borderId="0" xfId="0" applyFont="1" applyAlignment="1">
      <alignment horizontal="left" vertical="center" wrapText="1"/>
    </xf>
    <xf numFmtId="0" fontId="56" fillId="0" borderId="0" xfId="0" quotePrefix="1" applyFont="1" applyAlignment="1">
      <alignment horizontal="left" vertical="center"/>
    </xf>
    <xf numFmtId="0" fontId="56" fillId="0" borderId="0" xfId="0" applyFont="1" applyAlignment="1">
      <alignment horizontal="left" vertical="center"/>
    </xf>
    <xf numFmtId="0" fontId="56" fillId="0" borderId="0" xfId="0" quotePrefix="1" applyFont="1" applyAlignment="1">
      <alignment horizontal="left" vertical="center" wrapText="1"/>
    </xf>
    <xf numFmtId="0" fontId="56" fillId="0" borderId="0" xfId="0" applyFont="1" applyAlignment="1">
      <alignment horizontal="left" vertical="center" wrapText="1"/>
    </xf>
    <xf numFmtId="0" fontId="42" fillId="0" borderId="0" xfId="0" applyFont="1" applyAlignment="1">
      <alignment horizontal="center" vertical="center" wrapText="1"/>
    </xf>
    <xf numFmtId="0" fontId="44" fillId="0" borderId="10" xfId="0" applyFont="1" applyBorder="1" applyAlignment="1">
      <alignment horizontal="center" vertical="center" wrapText="1"/>
    </xf>
    <xf numFmtId="0" fontId="30" fillId="0" borderId="0" xfId="0" applyFont="1" applyAlignment="1">
      <alignment horizontal="center"/>
    </xf>
    <xf numFmtId="0" fontId="29" fillId="0" borderId="0" xfId="0" applyFont="1" applyAlignment="1">
      <alignment horizontal="center"/>
    </xf>
    <xf numFmtId="0" fontId="22" fillId="0" borderId="0" xfId="0" applyFont="1" applyAlignment="1">
      <alignment horizontal="center" vertical="center"/>
    </xf>
    <xf numFmtId="0" fontId="24" fillId="0" borderId="0" xfId="0" applyFont="1" applyAlignment="1">
      <alignment horizontal="center" vertical="center"/>
    </xf>
    <xf numFmtId="0" fontId="24" fillId="0" borderId="13" xfId="0" applyFont="1" applyBorder="1" applyAlignment="1">
      <alignment horizontal="center" vertical="center"/>
    </xf>
    <xf numFmtId="0" fontId="24" fillId="0" borderId="10" xfId="0" applyFont="1" applyBorder="1" applyAlignment="1">
      <alignment horizontal="center" vertical="center"/>
    </xf>
    <xf numFmtId="0" fontId="55" fillId="0" borderId="0" xfId="0" applyFont="1" applyAlignment="1">
      <alignment horizontal="center" vertical="center"/>
    </xf>
    <xf numFmtId="0" fontId="28" fillId="0" borderId="11" xfId="0" applyFont="1" applyBorder="1" applyAlignment="1">
      <alignment horizontal="left" vertical="center"/>
    </xf>
    <xf numFmtId="0" fontId="28" fillId="0" borderId="32" xfId="0" applyFont="1" applyBorder="1" applyAlignment="1">
      <alignment horizontal="left" vertical="center"/>
    </xf>
    <xf numFmtId="0" fontId="28" fillId="0" borderId="12" xfId="0" applyFont="1" applyBorder="1" applyAlignment="1">
      <alignment horizontal="left" vertical="center"/>
    </xf>
    <xf numFmtId="166" fontId="24" fillId="0" borderId="10" xfId="27" applyNumberFormat="1" applyFont="1" applyBorder="1" applyAlignment="1">
      <alignment horizontal="center" vertical="center"/>
    </xf>
    <xf numFmtId="0" fontId="24" fillId="0" borderId="30"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10" xfId="0" applyFont="1" applyBorder="1" applyAlignment="1">
      <alignment horizontal="center" vertical="center" wrapText="1"/>
    </xf>
    <xf numFmtId="0" fontId="55" fillId="0" borderId="0" xfId="0" applyFont="1" applyAlignment="1">
      <alignment horizontal="center"/>
    </xf>
    <xf numFmtId="166" fontId="24" fillId="0" borderId="10" xfId="27" applyNumberFormat="1" applyFont="1" applyBorder="1" applyAlignment="1">
      <alignment horizontal="center" vertical="center" wrapText="1"/>
    </xf>
    <xf numFmtId="0" fontId="22" fillId="0" borderId="0" xfId="0" applyFont="1" applyAlignment="1">
      <alignment horizontal="center"/>
    </xf>
    <xf numFmtId="0" fontId="22" fillId="0" borderId="13" xfId="0" applyFont="1" applyBorder="1" applyAlignment="1">
      <alignment horizontal="center"/>
    </xf>
    <xf numFmtId="167" fontId="28" fillId="0" borderId="11" xfId="0" applyNumberFormat="1" applyFont="1" applyBorder="1" applyAlignment="1">
      <alignment horizontal="left" vertical="center"/>
    </xf>
    <xf numFmtId="167" fontId="28" fillId="0" borderId="32" xfId="0" applyNumberFormat="1" applyFont="1" applyBorder="1" applyAlignment="1">
      <alignment horizontal="left" vertical="center"/>
    </xf>
    <xf numFmtId="167" fontId="28" fillId="0" borderId="12" xfId="0" applyNumberFormat="1" applyFont="1" applyBorder="1" applyAlignment="1">
      <alignment horizontal="left" vertical="center"/>
    </xf>
    <xf numFmtId="0" fontId="24" fillId="0" borderId="11" xfId="0" applyFont="1" applyBorder="1" applyAlignment="1">
      <alignment horizontal="center" vertical="center" wrapText="1"/>
    </xf>
    <xf numFmtId="0" fontId="24" fillId="0" borderId="32" xfId="0" applyFont="1" applyBorder="1" applyAlignment="1">
      <alignment horizontal="center" vertical="center" wrapText="1"/>
    </xf>
    <xf numFmtId="0" fontId="22" fillId="0" borderId="13" xfId="0" applyFont="1" applyBorder="1" applyAlignment="1">
      <alignment horizontal="center" vertical="center"/>
    </xf>
    <xf numFmtId="167" fontId="28" fillId="0" borderId="11" xfId="0" applyNumberFormat="1" applyFont="1" applyBorder="1" applyAlignment="1">
      <alignment horizontal="center" vertical="center"/>
    </xf>
    <xf numFmtId="167" fontId="28" fillId="0" borderId="12" xfId="0" applyNumberFormat="1" applyFont="1" applyBorder="1" applyAlignment="1">
      <alignment horizontal="center" vertical="center"/>
    </xf>
    <xf numFmtId="0" fontId="24" fillId="0" borderId="11" xfId="0" applyFont="1" applyBorder="1" applyAlignment="1">
      <alignment horizontal="center" vertical="center"/>
    </xf>
    <xf numFmtId="0" fontId="24" fillId="0" borderId="32" xfId="0" applyFont="1" applyBorder="1" applyAlignment="1">
      <alignment horizontal="center" vertical="center"/>
    </xf>
    <xf numFmtId="0" fontId="24" fillId="0" borderId="12" xfId="0" applyFont="1" applyBorder="1" applyAlignment="1">
      <alignment horizontal="center" vertical="center"/>
    </xf>
    <xf numFmtId="167" fontId="28" fillId="24" borderId="11" xfId="0" applyNumberFormat="1" applyFont="1" applyFill="1" applyBorder="1" applyAlignment="1">
      <alignment horizontal="center" vertical="center"/>
    </xf>
    <xf numFmtId="167" fontId="28" fillId="24" borderId="12" xfId="0" applyNumberFormat="1" applyFont="1" applyFill="1" applyBorder="1" applyAlignment="1">
      <alignment horizontal="center" vertical="center"/>
    </xf>
    <xf numFmtId="0" fontId="55" fillId="24" borderId="0" xfId="0" applyFont="1" applyFill="1" applyAlignment="1">
      <alignment horizontal="center"/>
    </xf>
    <xf numFmtId="0" fontId="24" fillId="24" borderId="10" xfId="0" applyFont="1" applyFill="1" applyBorder="1" applyAlignment="1">
      <alignment horizontal="center" vertical="center"/>
    </xf>
    <xf numFmtId="0" fontId="22" fillId="24" borderId="0" xfId="0" applyFont="1" applyFill="1" applyAlignment="1">
      <alignment horizontal="center" vertical="center"/>
    </xf>
    <xf numFmtId="0" fontId="22" fillId="24" borderId="13" xfId="0" applyFont="1" applyFill="1" applyBorder="1" applyAlignment="1">
      <alignment horizontal="center" vertical="center"/>
    </xf>
    <xf numFmtId="0" fontId="22" fillId="24" borderId="0" xfId="0" applyFont="1" applyFill="1" applyAlignment="1">
      <alignment horizontal="center"/>
    </xf>
    <xf numFmtId="167" fontId="28" fillId="24" borderId="10" xfId="0" applyNumberFormat="1" applyFont="1" applyFill="1" applyBorder="1" applyAlignment="1">
      <alignment horizontal="left" vertical="center"/>
    </xf>
    <xf numFmtId="0" fontId="24" fillId="24" borderId="10" xfId="0" applyFont="1" applyFill="1" applyBorder="1" applyAlignment="1">
      <alignment horizontal="center" vertical="center" wrapText="1"/>
    </xf>
    <xf numFmtId="0" fontId="24" fillId="0" borderId="10" xfId="0" applyFont="1" applyBorder="1" applyAlignment="1">
      <alignment horizontal="center"/>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30" builtinId="23" customBuiltin="1"/>
    <cellStyle name="Comma" xfId="27" builtinId="3"/>
    <cellStyle name="Comma 2" xfId="28" xr:uid="{00000000-0005-0000-0000-00001B000000}"/>
    <cellStyle name="Comma 3" xfId="29" xr:uid="{00000000-0005-0000-0000-00001C000000}"/>
    <cellStyle name="Explanatory Text" xfId="31" builtinId="53" customBuiltin="1"/>
    <cellStyle name="Good" xfId="32" builtinId="26" customBuiltin="1"/>
    <cellStyle name="Heading 1" xfId="33" builtinId="16" customBuiltin="1"/>
    <cellStyle name="Heading 2" xfId="34" builtinId="17" customBuiltin="1"/>
    <cellStyle name="Heading 3" xfId="35" builtinId="18" customBuiltin="1"/>
    <cellStyle name="Heading 4" xfId="36" builtinId="19" customBuiltin="1"/>
    <cellStyle name="Input" xfId="37" builtinId="20" customBuiltin="1"/>
    <cellStyle name="Linked Cell" xfId="38" builtinId="24" customBuiltin="1"/>
    <cellStyle name="Neutral" xfId="39" builtinId="28" customBuiltin="1"/>
    <cellStyle name="Normal" xfId="0" builtinId="0"/>
    <cellStyle name="Normal 2" xfId="40" xr:uid="{00000000-0005-0000-0000-000028000000}"/>
    <cellStyle name="Normal 2 2" xfId="41" xr:uid="{00000000-0005-0000-0000-000029000000}"/>
    <cellStyle name="Normal 3" xfId="42" xr:uid="{00000000-0005-0000-0000-00002A000000}"/>
    <cellStyle name="Normal 8" xfId="43" xr:uid="{00000000-0005-0000-0000-00002B000000}"/>
    <cellStyle name="Normal_Book1_MAU-DT-58-2007 (TT05)" xfId="44" xr:uid="{00000000-0005-0000-0000-00002C000000}"/>
    <cellStyle name="Normal_MAU-DT-58-2007 (TT05)" xfId="45" xr:uid="{00000000-0005-0000-0000-00002D000000}"/>
    <cellStyle name="Note" xfId="46" builtinId="10" customBuiltin="1"/>
    <cellStyle name="Output" xfId="47" builtinId="21" customBuiltin="1"/>
    <cellStyle name="Title" xfId="48" builtinId="15" customBuiltin="1"/>
    <cellStyle name="Total" xfId="49" builtinId="25" customBuiltin="1"/>
    <cellStyle name="Warning Text" xfId="50"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3</xdr:col>
      <xdr:colOff>857250</xdr:colOff>
      <xdr:row>2</xdr:row>
      <xdr:rowOff>0</xdr:rowOff>
    </xdr:from>
    <xdr:to>
      <xdr:col>4</xdr:col>
      <xdr:colOff>647700</xdr:colOff>
      <xdr:row>2</xdr:row>
      <xdr:rowOff>0</xdr:rowOff>
    </xdr:to>
    <xdr:cxnSp macro="">
      <xdr:nvCxnSpPr>
        <xdr:cNvPr id="3" name="Straight Connector 2">
          <a:extLst>
            <a:ext uri="{FF2B5EF4-FFF2-40B4-BE49-F238E27FC236}">
              <a16:creationId xmlns:a16="http://schemas.microsoft.com/office/drawing/2014/main" id="{DC41D28F-6DCB-7108-1D89-6E7145E8F476}"/>
            </a:ext>
          </a:extLst>
        </xdr:cNvPr>
        <xdr:cNvCxnSpPr/>
      </xdr:nvCxnSpPr>
      <xdr:spPr>
        <a:xfrm>
          <a:off x="4000500" y="561975"/>
          <a:ext cx="838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opLeftCell="A10" workbookViewId="0">
      <selection activeCell="E21" sqref="E21"/>
    </sheetView>
  </sheetViews>
  <sheetFormatPr defaultColWidth="11" defaultRowHeight="15"/>
  <cols>
    <col min="1" max="8" width="18.33203125" style="46" customWidth="1"/>
    <col min="9" max="9" width="11.83203125" style="46" customWidth="1"/>
    <col min="10" max="16384" width="11" style="46"/>
  </cols>
  <sheetData>
    <row r="1" spans="1:10" ht="25.5" customHeight="1" thickTop="1">
      <c r="A1" s="150" t="s">
        <v>178</v>
      </c>
      <c r="B1" s="151"/>
      <c r="C1" s="151"/>
      <c r="D1" s="151"/>
      <c r="E1" s="151"/>
      <c r="F1" s="151"/>
      <c r="G1" s="151"/>
      <c r="H1" s="151"/>
      <c r="I1" s="152"/>
      <c r="J1" s="45"/>
    </row>
    <row r="2" spans="1:10" ht="18.75">
      <c r="A2" s="138" t="s">
        <v>179</v>
      </c>
      <c r="B2" s="139"/>
      <c r="C2" s="139"/>
      <c r="D2" s="139"/>
      <c r="E2" s="139"/>
      <c r="F2" s="139"/>
      <c r="G2" s="139"/>
      <c r="H2" s="139"/>
      <c r="I2" s="140"/>
      <c r="J2" s="45"/>
    </row>
    <row r="3" spans="1:10">
      <c r="A3" s="47"/>
      <c r="B3" s="45"/>
      <c r="C3" s="45"/>
      <c r="D3" s="45"/>
      <c r="E3" s="45"/>
      <c r="F3" s="45"/>
      <c r="G3" s="45"/>
      <c r="H3" s="45"/>
      <c r="I3" s="48"/>
      <c r="J3" s="45"/>
    </row>
    <row r="4" spans="1:10">
      <c r="A4" s="47"/>
      <c r="B4" s="45"/>
      <c r="C4" s="45"/>
      <c r="D4" s="45"/>
      <c r="E4" s="45"/>
      <c r="F4" s="45"/>
      <c r="G4" s="45"/>
      <c r="H4" s="45"/>
      <c r="I4" s="48"/>
      <c r="J4" s="45"/>
    </row>
    <row r="5" spans="1:10" ht="19.899999999999999" customHeight="1">
      <c r="A5" s="153"/>
      <c r="B5" s="154"/>
      <c r="C5" s="154"/>
      <c r="D5" s="154"/>
      <c r="E5" s="154"/>
      <c r="F5" s="154"/>
      <c r="G5" s="154"/>
      <c r="H5" s="154"/>
      <c r="I5" s="155"/>
      <c r="J5" s="45"/>
    </row>
    <row r="6" spans="1:10" ht="19.899999999999999" customHeight="1">
      <c r="A6" s="153"/>
      <c r="B6" s="156"/>
      <c r="C6" s="156"/>
      <c r="D6" s="156"/>
      <c r="E6" s="156"/>
      <c r="F6" s="156"/>
      <c r="G6" s="156"/>
      <c r="H6" s="156"/>
      <c r="I6" s="157"/>
      <c r="J6" s="45"/>
    </row>
    <row r="7" spans="1:10" ht="18.75">
      <c r="A7" s="49"/>
      <c r="B7" s="50"/>
      <c r="C7" s="50"/>
      <c r="D7" s="50"/>
      <c r="E7" s="50"/>
      <c r="F7" s="50"/>
      <c r="G7" s="50"/>
      <c r="H7" s="50"/>
      <c r="I7" s="51"/>
      <c r="J7" s="45"/>
    </row>
    <row r="8" spans="1:10" ht="18.75">
      <c r="A8" s="49"/>
      <c r="B8" s="50"/>
      <c r="C8" s="50"/>
      <c r="D8" s="50"/>
      <c r="E8" s="50"/>
      <c r="F8" s="50"/>
      <c r="G8" s="50"/>
      <c r="H8" s="50"/>
      <c r="I8" s="51"/>
      <c r="J8" s="45"/>
    </row>
    <row r="9" spans="1:10" ht="18.75">
      <c r="A9" s="49"/>
      <c r="B9" s="50"/>
      <c r="C9" s="50"/>
      <c r="D9" s="50"/>
      <c r="E9" s="50"/>
      <c r="F9" s="50"/>
      <c r="G9" s="50"/>
      <c r="H9" s="50"/>
      <c r="I9" s="51"/>
      <c r="J9" s="45"/>
    </row>
    <row r="10" spans="1:10" ht="26.25">
      <c r="A10" s="147" t="s">
        <v>180</v>
      </c>
      <c r="B10" s="148"/>
      <c r="C10" s="148"/>
      <c r="D10" s="148"/>
      <c r="E10" s="148"/>
      <c r="F10" s="148"/>
      <c r="G10" s="148"/>
      <c r="H10" s="148"/>
      <c r="I10" s="149"/>
      <c r="J10" s="45"/>
    </row>
    <row r="11" spans="1:10" ht="26.25">
      <c r="A11" s="147" t="s">
        <v>181</v>
      </c>
      <c r="B11" s="148"/>
      <c r="C11" s="148"/>
      <c r="D11" s="148"/>
      <c r="E11" s="148"/>
      <c r="F11" s="148"/>
      <c r="G11" s="148"/>
      <c r="H11" s="148"/>
      <c r="I11" s="149"/>
      <c r="J11" s="45"/>
    </row>
    <row r="12" spans="1:10">
      <c r="A12" s="141"/>
      <c r="B12" s="142"/>
      <c r="C12" s="142"/>
      <c r="D12" s="142"/>
      <c r="E12" s="142"/>
      <c r="F12" s="142"/>
      <c r="G12" s="142"/>
      <c r="H12" s="142"/>
      <c r="I12" s="143"/>
      <c r="J12" s="45"/>
    </row>
    <row r="13" spans="1:10" ht="18.75">
      <c r="A13" s="144" t="s">
        <v>237</v>
      </c>
      <c r="B13" s="145"/>
      <c r="C13" s="145"/>
      <c r="D13" s="145"/>
      <c r="E13" s="145"/>
      <c r="F13" s="145"/>
      <c r="G13" s="145"/>
      <c r="H13" s="145"/>
      <c r="I13" s="146"/>
      <c r="J13" s="52"/>
    </row>
    <row r="14" spans="1:10" ht="18.75">
      <c r="A14" s="144" t="s">
        <v>182</v>
      </c>
      <c r="B14" s="145"/>
      <c r="C14" s="145"/>
      <c r="D14" s="145"/>
      <c r="E14" s="145"/>
      <c r="F14" s="145"/>
      <c r="G14" s="145"/>
      <c r="H14" s="145"/>
      <c r="I14" s="146"/>
      <c r="J14" s="52"/>
    </row>
    <row r="15" spans="1:10" ht="18.75">
      <c r="A15" s="144" t="s">
        <v>236</v>
      </c>
      <c r="B15" s="145"/>
      <c r="C15" s="145"/>
      <c r="D15" s="145"/>
      <c r="E15" s="145"/>
      <c r="F15" s="145"/>
      <c r="G15" s="145"/>
      <c r="H15" s="145"/>
      <c r="I15" s="146"/>
      <c r="J15" s="52"/>
    </row>
    <row r="16" spans="1:10" ht="18.75">
      <c r="A16" s="144" t="s">
        <v>183</v>
      </c>
      <c r="B16" s="145"/>
      <c r="C16" s="145"/>
      <c r="D16" s="145"/>
      <c r="E16" s="145"/>
      <c r="F16" s="145"/>
      <c r="G16" s="145"/>
      <c r="H16" s="145"/>
      <c r="I16" s="146"/>
      <c r="J16" s="52"/>
    </row>
    <row r="17" spans="1:10" ht="18.75">
      <c r="A17" s="144" t="s">
        <v>184</v>
      </c>
      <c r="B17" s="145"/>
      <c r="C17" s="145"/>
      <c r="D17" s="145"/>
      <c r="E17" s="145"/>
      <c r="F17" s="145"/>
      <c r="G17" s="145"/>
      <c r="H17" s="145"/>
      <c r="I17" s="146"/>
      <c r="J17" s="52"/>
    </row>
    <row r="18" spans="1:10" ht="15.75">
      <c r="A18" s="53"/>
      <c r="B18" s="54"/>
      <c r="C18" s="54"/>
      <c r="D18" s="54"/>
      <c r="E18" s="54"/>
      <c r="F18" s="54"/>
      <c r="G18" s="54"/>
      <c r="H18" s="54"/>
      <c r="I18" s="55"/>
      <c r="J18" s="52"/>
    </row>
    <row r="19" spans="1:10" ht="15.75">
      <c r="A19" s="53"/>
      <c r="B19" s="54"/>
      <c r="C19" s="54"/>
      <c r="D19" s="54"/>
      <c r="E19" s="54"/>
      <c r="F19" s="54"/>
      <c r="G19" s="54"/>
      <c r="H19" s="54"/>
      <c r="I19" s="55"/>
      <c r="J19" s="52"/>
    </row>
    <row r="20" spans="1:10" ht="23.25" customHeight="1">
      <c r="A20" s="56"/>
      <c r="B20" s="57"/>
      <c r="C20" s="57"/>
      <c r="D20" s="57"/>
      <c r="E20" s="58"/>
      <c r="F20" s="57"/>
      <c r="G20" s="57"/>
      <c r="H20" s="57"/>
      <c r="I20" s="59"/>
      <c r="J20" s="60"/>
    </row>
    <row r="21" spans="1:10" ht="23.25" customHeight="1">
      <c r="A21" s="61"/>
      <c r="B21" s="62"/>
      <c r="C21" s="62"/>
      <c r="D21" s="62"/>
      <c r="E21" s="45"/>
      <c r="F21" s="45"/>
      <c r="G21" s="62"/>
      <c r="H21" s="54"/>
      <c r="I21" s="55"/>
      <c r="J21" s="45"/>
    </row>
    <row r="22" spans="1:10" ht="23.25" customHeight="1">
      <c r="A22" s="47"/>
      <c r="B22" s="45"/>
      <c r="C22" s="45"/>
      <c r="D22" s="63"/>
      <c r="E22" s="45"/>
      <c r="F22" s="64"/>
      <c r="G22" s="45"/>
      <c r="H22" s="45"/>
      <c r="I22" s="48"/>
      <c r="J22" s="45"/>
    </row>
    <row r="23" spans="1:10" ht="23.25" customHeight="1">
      <c r="A23" s="47"/>
      <c r="B23" s="62"/>
      <c r="C23" s="45"/>
      <c r="D23" s="65"/>
      <c r="E23" s="45"/>
      <c r="F23" s="64"/>
      <c r="G23" s="45"/>
      <c r="H23" s="62"/>
      <c r="I23" s="66"/>
      <c r="J23" s="62"/>
    </row>
    <row r="24" spans="1:10" ht="17.25" customHeight="1">
      <c r="A24" s="53"/>
      <c r="B24" s="62"/>
      <c r="C24" s="45"/>
      <c r="D24" s="65"/>
      <c r="E24" s="45"/>
      <c r="F24" s="45"/>
      <c r="G24" s="45"/>
      <c r="H24" s="62"/>
      <c r="I24" s="66"/>
      <c r="J24" s="62"/>
    </row>
    <row r="25" spans="1:10" ht="39" customHeight="1">
      <c r="A25" s="138" t="s">
        <v>304</v>
      </c>
      <c r="B25" s="139"/>
      <c r="C25" s="139"/>
      <c r="D25" s="139"/>
      <c r="E25" s="139"/>
      <c r="F25" s="139"/>
      <c r="G25" s="139"/>
      <c r="H25" s="139"/>
      <c r="I25" s="140"/>
      <c r="J25" s="62"/>
    </row>
    <row r="26" spans="1:10" ht="26.25" customHeight="1" thickBot="1">
      <c r="A26" s="67"/>
      <c r="B26" s="68"/>
      <c r="C26" s="68"/>
      <c r="D26" s="69"/>
      <c r="E26" s="68"/>
      <c r="F26" s="68"/>
      <c r="G26" s="70"/>
      <c r="H26" s="68"/>
      <c r="I26" s="71"/>
      <c r="J26" s="45"/>
    </row>
    <row r="27" spans="1:10" ht="15.75" thickTop="1"/>
  </sheetData>
  <mergeCells count="13">
    <mergeCell ref="A11:I11"/>
    <mergeCell ref="A1:I1"/>
    <mergeCell ref="A2:I2"/>
    <mergeCell ref="A5:I5"/>
    <mergeCell ref="A6:I6"/>
    <mergeCell ref="A10:I10"/>
    <mergeCell ref="A25:I25"/>
    <mergeCell ref="A12:I12"/>
    <mergeCell ref="A13:I13"/>
    <mergeCell ref="A14:I14"/>
    <mergeCell ref="A15:I15"/>
    <mergeCell ref="A16:I16"/>
    <mergeCell ref="A17:I17"/>
  </mergeCells>
  <pageMargins left="0.98425196850393704" right="0.78740157480314965" top="0.78740157480314965" bottom="0.78740157480314965" header="0.31496062992125984" footer="0.31496062992125984"/>
  <pageSetup paperSize="9" scale="8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tabSelected="1" workbookViewId="0">
      <selection activeCell="O10" sqref="O10"/>
    </sheetView>
  </sheetViews>
  <sheetFormatPr defaultRowHeight="12.75"/>
  <cols>
    <col min="9" max="9" width="71.6640625" customWidth="1"/>
  </cols>
  <sheetData>
    <row r="1" spans="1:9" ht="27.75" customHeight="1">
      <c r="A1" s="139" t="s">
        <v>259</v>
      </c>
      <c r="B1" s="139"/>
      <c r="C1" s="139"/>
      <c r="D1" s="139"/>
      <c r="E1" s="139"/>
      <c r="F1" s="139"/>
      <c r="G1" s="139"/>
      <c r="H1" s="139"/>
      <c r="I1" s="139"/>
    </row>
    <row r="2" spans="1:9" ht="27.75" customHeight="1">
      <c r="A2" s="139" t="s">
        <v>260</v>
      </c>
      <c r="B2" s="139"/>
      <c r="C2" s="139"/>
      <c r="D2" s="139"/>
      <c r="E2" s="139"/>
      <c r="F2" s="139"/>
      <c r="G2" s="139"/>
      <c r="H2" s="139"/>
      <c r="I2" s="139"/>
    </row>
    <row r="3" spans="1:9" ht="16.5" customHeight="1">
      <c r="A3" s="135"/>
      <c r="B3" s="135"/>
      <c r="C3" s="135"/>
      <c r="D3" s="135"/>
      <c r="E3" s="135"/>
      <c r="F3" s="135"/>
      <c r="G3" s="135"/>
      <c r="H3" s="135"/>
      <c r="I3" s="135"/>
    </row>
    <row r="4" spans="1:9" ht="103.5" customHeight="1">
      <c r="A4" s="162" t="s">
        <v>305</v>
      </c>
      <c r="B4" s="162"/>
      <c r="C4" s="162"/>
      <c r="D4" s="162"/>
      <c r="E4" s="162"/>
      <c r="F4" s="162"/>
      <c r="G4" s="162"/>
      <c r="H4" s="162"/>
      <c r="I4" s="162"/>
    </row>
    <row r="5" spans="1:9" ht="12.75" customHeight="1">
      <c r="A5" s="136"/>
      <c r="B5" s="136"/>
      <c r="C5" s="136"/>
      <c r="D5" s="136"/>
      <c r="E5" s="136"/>
      <c r="F5" s="136"/>
      <c r="G5" s="136"/>
      <c r="H5" s="136"/>
      <c r="I5" s="136"/>
    </row>
    <row r="6" spans="1:9" ht="24" customHeight="1">
      <c r="A6" s="160" t="s">
        <v>261</v>
      </c>
      <c r="B6" s="160"/>
      <c r="C6" s="160"/>
      <c r="D6" s="160"/>
      <c r="E6" s="160"/>
      <c r="F6" s="160"/>
      <c r="G6" s="160"/>
      <c r="H6" s="160"/>
      <c r="I6" s="160"/>
    </row>
    <row r="7" spans="1:9" ht="54" customHeight="1">
      <c r="A7" s="159" t="s">
        <v>265</v>
      </c>
      <c r="B7" s="159"/>
      <c r="C7" s="159"/>
      <c r="D7" s="159"/>
      <c r="E7" s="159"/>
      <c r="F7" s="159"/>
      <c r="G7" s="159"/>
      <c r="H7" s="159"/>
      <c r="I7" s="159"/>
    </row>
    <row r="8" spans="1:9" ht="42" customHeight="1">
      <c r="A8" s="159" t="s">
        <v>266</v>
      </c>
      <c r="B8" s="159"/>
      <c r="C8" s="159"/>
      <c r="D8" s="159"/>
      <c r="E8" s="159"/>
      <c r="F8" s="159"/>
      <c r="G8" s="159"/>
      <c r="H8" s="159"/>
      <c r="I8" s="159"/>
    </row>
    <row r="9" spans="1:9" ht="24.75" customHeight="1">
      <c r="A9" s="160" t="s">
        <v>262</v>
      </c>
      <c r="B9" s="160"/>
      <c r="C9" s="160"/>
      <c r="D9" s="160"/>
      <c r="E9" s="160"/>
      <c r="F9" s="160"/>
      <c r="G9" s="160"/>
      <c r="H9" s="160"/>
      <c r="I9" s="160"/>
    </row>
    <row r="10" spans="1:9" ht="90" customHeight="1">
      <c r="A10" s="161" t="s">
        <v>263</v>
      </c>
      <c r="B10" s="159"/>
      <c r="C10" s="159"/>
      <c r="D10" s="159"/>
      <c r="E10" s="159"/>
      <c r="F10" s="159"/>
      <c r="G10" s="159"/>
      <c r="H10" s="159"/>
      <c r="I10" s="159"/>
    </row>
    <row r="11" spans="1:9" ht="24.75" customHeight="1">
      <c r="A11" s="160" t="s">
        <v>267</v>
      </c>
      <c r="B11" s="160"/>
      <c r="C11" s="160"/>
      <c r="D11" s="160"/>
      <c r="E11" s="160"/>
      <c r="F11" s="160"/>
      <c r="G11" s="160"/>
      <c r="H11" s="160"/>
      <c r="I11" s="160"/>
    </row>
    <row r="12" spans="1:9" ht="24.75" customHeight="1">
      <c r="A12" s="163" t="s">
        <v>299</v>
      </c>
      <c r="B12" s="164"/>
      <c r="C12" s="164"/>
      <c r="D12" s="164"/>
      <c r="E12" s="164"/>
      <c r="F12" s="164"/>
      <c r="G12" s="164"/>
      <c r="H12" s="164"/>
      <c r="I12" s="164"/>
    </row>
    <row r="13" spans="1:9" ht="43.5" customHeight="1">
      <c r="A13" s="165" t="s">
        <v>300</v>
      </c>
      <c r="B13" s="166"/>
      <c r="C13" s="166"/>
      <c r="D13" s="166"/>
      <c r="E13" s="166"/>
      <c r="F13" s="166"/>
      <c r="G13" s="166"/>
      <c r="H13" s="166"/>
      <c r="I13" s="166"/>
    </row>
    <row r="14" spans="1:9" ht="24.75" customHeight="1">
      <c r="A14" s="163" t="s">
        <v>301</v>
      </c>
      <c r="B14" s="164"/>
      <c r="C14" s="164"/>
      <c r="D14" s="164"/>
      <c r="E14" s="164"/>
      <c r="F14" s="164"/>
      <c r="G14" s="164"/>
      <c r="H14" s="164"/>
      <c r="I14" s="164"/>
    </row>
    <row r="15" spans="1:9" ht="63.75" customHeight="1">
      <c r="A15" s="165" t="s">
        <v>302</v>
      </c>
      <c r="B15" s="166"/>
      <c r="C15" s="166"/>
      <c r="D15" s="166"/>
      <c r="E15" s="166"/>
      <c r="F15" s="166"/>
      <c r="G15" s="166"/>
      <c r="H15" s="166"/>
      <c r="I15" s="166"/>
    </row>
    <row r="16" spans="1:9" ht="24.75" customHeight="1">
      <c r="A16" s="160" t="s">
        <v>264</v>
      </c>
      <c r="B16" s="160"/>
      <c r="C16" s="160"/>
      <c r="D16" s="160"/>
      <c r="E16" s="160"/>
      <c r="F16" s="160"/>
      <c r="G16" s="160"/>
      <c r="H16" s="160"/>
      <c r="I16" s="160"/>
    </row>
    <row r="17" spans="1:9" ht="74.25" customHeight="1">
      <c r="A17" s="158" t="s">
        <v>298</v>
      </c>
      <c r="B17" s="159"/>
      <c r="C17" s="159"/>
      <c r="D17" s="159"/>
      <c r="E17" s="159"/>
      <c r="F17" s="159"/>
      <c r="G17" s="159"/>
      <c r="H17" s="159"/>
      <c r="I17" s="159"/>
    </row>
    <row r="18" spans="1:9" ht="52.5" customHeight="1">
      <c r="A18" s="158" t="s">
        <v>297</v>
      </c>
      <c r="B18" s="159"/>
      <c r="C18" s="159"/>
      <c r="D18" s="159"/>
      <c r="E18" s="159"/>
      <c r="F18" s="159"/>
      <c r="G18" s="159"/>
      <c r="H18" s="159"/>
      <c r="I18" s="159"/>
    </row>
    <row r="19" spans="1:9" ht="86.25" customHeight="1">
      <c r="A19" s="158" t="s">
        <v>296</v>
      </c>
      <c r="B19" s="159"/>
      <c r="C19" s="159"/>
      <c r="D19" s="159"/>
      <c r="E19" s="159"/>
      <c r="F19" s="159"/>
      <c r="G19" s="159"/>
      <c r="H19" s="159"/>
      <c r="I19" s="159"/>
    </row>
    <row r="20" spans="1:9" ht="57.75" customHeight="1">
      <c r="A20" s="158" t="s">
        <v>288</v>
      </c>
      <c r="B20" s="159"/>
      <c r="C20" s="159"/>
      <c r="D20" s="159"/>
      <c r="E20" s="159"/>
      <c r="F20" s="159"/>
      <c r="G20" s="159"/>
      <c r="H20" s="159"/>
      <c r="I20" s="159"/>
    </row>
    <row r="21" spans="1:9" ht="70.5" customHeight="1">
      <c r="A21" s="158" t="s">
        <v>295</v>
      </c>
      <c r="B21" s="158"/>
      <c r="C21" s="158"/>
      <c r="D21" s="158"/>
      <c r="E21" s="158"/>
      <c r="F21" s="158"/>
      <c r="G21" s="158"/>
      <c r="H21" s="158"/>
      <c r="I21" s="158"/>
    </row>
    <row r="22" spans="1:9" ht="54.75" customHeight="1">
      <c r="A22" s="158" t="s">
        <v>294</v>
      </c>
      <c r="B22" s="158"/>
      <c r="C22" s="158"/>
      <c r="D22" s="158"/>
      <c r="E22" s="158"/>
      <c r="F22" s="158"/>
      <c r="G22" s="158"/>
      <c r="H22" s="158"/>
      <c r="I22" s="158"/>
    </row>
    <row r="23" spans="1:9" ht="57.75" customHeight="1">
      <c r="A23" s="158" t="s">
        <v>293</v>
      </c>
      <c r="B23" s="158"/>
      <c r="C23" s="158"/>
      <c r="D23" s="158"/>
      <c r="E23" s="158"/>
      <c r="F23" s="158"/>
      <c r="G23" s="158"/>
      <c r="H23" s="158"/>
      <c r="I23" s="158"/>
    </row>
    <row r="24" spans="1:9" ht="54.75" customHeight="1">
      <c r="A24" s="158" t="s">
        <v>289</v>
      </c>
      <c r="B24" s="158"/>
      <c r="C24" s="158"/>
      <c r="D24" s="158"/>
      <c r="E24" s="158"/>
      <c r="F24" s="158"/>
      <c r="G24" s="158"/>
      <c r="H24" s="158"/>
      <c r="I24" s="158"/>
    </row>
    <row r="25" spans="1:9" ht="54.75" customHeight="1">
      <c r="A25" s="158" t="s">
        <v>290</v>
      </c>
      <c r="B25" s="158"/>
      <c r="C25" s="158"/>
      <c r="D25" s="158"/>
      <c r="E25" s="158"/>
      <c r="F25" s="158"/>
      <c r="G25" s="158"/>
      <c r="H25" s="158"/>
      <c r="I25" s="158"/>
    </row>
    <row r="26" spans="1:9" ht="38.25" customHeight="1">
      <c r="A26" s="158" t="s">
        <v>291</v>
      </c>
      <c r="B26" s="158"/>
      <c r="C26" s="158"/>
      <c r="D26" s="158"/>
      <c r="E26" s="158"/>
      <c r="F26" s="158"/>
      <c r="G26" s="158"/>
      <c r="H26" s="158"/>
      <c r="I26" s="158"/>
    </row>
    <row r="27" spans="1:9" ht="56.25" customHeight="1">
      <c r="A27" s="158" t="s">
        <v>292</v>
      </c>
      <c r="B27" s="158"/>
      <c r="C27" s="158"/>
      <c r="D27" s="158"/>
      <c r="E27" s="158"/>
      <c r="F27" s="158"/>
      <c r="G27" s="158"/>
      <c r="H27" s="158"/>
      <c r="I27" s="158"/>
    </row>
    <row r="28" spans="1:9" ht="56.25" customHeight="1">
      <c r="A28" s="158" t="s">
        <v>303</v>
      </c>
      <c r="B28" s="158"/>
      <c r="C28" s="158"/>
      <c r="D28" s="158"/>
      <c r="E28" s="158"/>
      <c r="F28" s="158"/>
      <c r="G28" s="158"/>
      <c r="H28" s="158"/>
      <c r="I28" s="158"/>
    </row>
    <row r="29" spans="1:9" ht="16.5" customHeight="1">
      <c r="A29" s="159"/>
      <c r="B29" s="159"/>
      <c r="C29" s="159"/>
      <c r="D29" s="159"/>
      <c r="E29" s="159"/>
      <c r="F29" s="159"/>
      <c r="G29" s="159"/>
      <c r="H29" s="159"/>
      <c r="I29" s="159"/>
    </row>
  </sheetData>
  <mergeCells count="27">
    <mergeCell ref="A16:I16"/>
    <mergeCell ref="A1:I1"/>
    <mergeCell ref="A9:I9"/>
    <mergeCell ref="A10:I10"/>
    <mergeCell ref="A2:I2"/>
    <mergeCell ref="A4:I4"/>
    <mergeCell ref="A6:I6"/>
    <mergeCell ref="A7:I7"/>
    <mergeCell ref="A8:I8"/>
    <mergeCell ref="A11:I11"/>
    <mergeCell ref="A12:I12"/>
    <mergeCell ref="A13:I13"/>
    <mergeCell ref="A14:I14"/>
    <mergeCell ref="A15:I15"/>
    <mergeCell ref="A17:I17"/>
    <mergeCell ref="A18:I18"/>
    <mergeCell ref="A19:I19"/>
    <mergeCell ref="A20:I20"/>
    <mergeCell ref="A21:I21"/>
    <mergeCell ref="A27:I27"/>
    <mergeCell ref="A28:I28"/>
    <mergeCell ref="A29:I29"/>
    <mergeCell ref="A22:I22"/>
    <mergeCell ref="A23:I23"/>
    <mergeCell ref="A24:I24"/>
    <mergeCell ref="A25:I25"/>
    <mergeCell ref="A26:I26"/>
  </mergeCells>
  <pageMargins left="0.7" right="0.7" top="0.75" bottom="0.75" header="0.3" footer="0.3"/>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5.75"/>
  <cols>
    <col min="1" max="1" width="22.1640625" style="95" customWidth="1"/>
    <col min="2" max="16384" width="9.33203125" style="95"/>
  </cols>
  <sheetData>
    <row r="1" spans="1:3" ht="18.75" customHeight="1">
      <c r="A1" s="95" t="s">
        <v>229</v>
      </c>
    </row>
    <row r="2" spans="1:3" ht="18.75" customHeight="1">
      <c r="A2" s="95" t="s">
        <v>225</v>
      </c>
      <c r="B2" s="95" t="s">
        <v>161</v>
      </c>
      <c r="C2" s="95" t="s">
        <v>226</v>
      </c>
    </row>
    <row r="3" spans="1:3" ht="18.75" customHeight="1">
      <c r="A3" s="95" t="s">
        <v>227</v>
      </c>
    </row>
    <row r="4" spans="1:3" ht="18.75" customHeight="1">
      <c r="A4" s="95" t="s">
        <v>228</v>
      </c>
    </row>
    <row r="5" spans="1:3" ht="20.25" customHeight="1">
      <c r="A5" s="95" t="s">
        <v>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18"/>
  <sheetViews>
    <sheetView view="pageBreakPreview" zoomScale="60" zoomScaleNormal="70" workbookViewId="0">
      <selection activeCell="I47" sqref="I47"/>
    </sheetView>
  </sheetViews>
  <sheetFormatPr defaultRowHeight="16.5"/>
  <cols>
    <col min="1" max="1" width="9.33203125" style="2"/>
    <col min="2" max="2" width="21.83203125" style="17" customWidth="1"/>
    <col min="3" max="3" width="10.83203125" style="17" bestFit="1" customWidth="1"/>
    <col min="4" max="4" width="10.6640625" style="17" customWidth="1"/>
    <col min="5" max="5" width="11.6640625" style="17" bestFit="1" customWidth="1"/>
    <col min="6" max="6" width="7.6640625" style="17" customWidth="1"/>
    <col min="7" max="7" width="9.33203125" style="17"/>
    <col min="8" max="8" width="9" style="42" bestFit="1" customWidth="1"/>
    <col min="9" max="12" width="11.5" style="17" customWidth="1"/>
    <col min="13" max="13" width="9.33203125" style="17"/>
    <col min="14" max="14" width="9.1640625" style="17" customWidth="1"/>
    <col min="15" max="16" width="9.33203125" style="17"/>
    <col min="17" max="17" width="8.5" style="42" customWidth="1"/>
    <col min="18" max="18" width="8.1640625" style="42" customWidth="1"/>
    <col min="19" max="42" width="9.33203125" style="42"/>
    <col min="43" max="43" width="11.1640625" style="42" customWidth="1"/>
  </cols>
  <sheetData>
    <row r="1" spans="1:43" ht="18.75" customHeight="1">
      <c r="A1" s="169" t="s">
        <v>185</v>
      </c>
      <c r="B1" s="169"/>
      <c r="C1" s="169"/>
      <c r="D1" s="169"/>
      <c r="E1" s="169"/>
      <c r="F1" s="73"/>
      <c r="G1" s="72"/>
      <c r="H1" s="72"/>
      <c r="I1" s="73"/>
      <c r="J1" s="73"/>
      <c r="K1" s="73"/>
      <c r="L1" s="73"/>
      <c r="M1" s="73"/>
      <c r="N1" s="73"/>
      <c r="O1" s="73"/>
      <c r="P1" s="73"/>
      <c r="Q1" s="137"/>
      <c r="R1" s="137"/>
      <c r="S1" s="137"/>
      <c r="T1" s="137"/>
      <c r="U1" s="137"/>
      <c r="V1" s="137"/>
      <c r="W1" s="137"/>
      <c r="X1" s="137"/>
      <c r="Y1" s="137"/>
      <c r="Z1" s="137"/>
      <c r="AA1" s="137"/>
      <c r="AB1" s="137"/>
      <c r="AC1" s="137"/>
      <c r="AD1" s="137"/>
      <c r="AE1" s="137"/>
      <c r="AF1" s="137"/>
      <c r="AG1" s="137"/>
      <c r="AH1" s="137"/>
      <c r="AI1" s="137"/>
      <c r="AJ1" s="137"/>
      <c r="AK1" s="137"/>
      <c r="AL1" s="137"/>
      <c r="AM1" s="137"/>
      <c r="AN1" s="167" t="s">
        <v>268</v>
      </c>
      <c r="AO1" s="167"/>
      <c r="AP1" s="167"/>
      <c r="AQ1" s="167"/>
    </row>
    <row r="2" spans="1:43" ht="18.75">
      <c r="A2" s="170" t="s">
        <v>186</v>
      </c>
      <c r="B2" s="170"/>
      <c r="C2" s="170"/>
      <c r="D2" s="170"/>
      <c r="E2" s="170"/>
      <c r="F2" s="73"/>
      <c r="G2" s="74"/>
      <c r="H2" s="74"/>
      <c r="I2" s="73"/>
      <c r="J2" s="73"/>
      <c r="K2" s="73"/>
      <c r="L2" s="73"/>
      <c r="M2" s="73"/>
      <c r="N2" s="73"/>
      <c r="O2" s="73"/>
      <c r="P2" s="73"/>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row>
    <row r="3" spans="1:43" ht="18.75">
      <c r="A3" s="170"/>
      <c r="B3" s="170"/>
      <c r="C3" s="170"/>
      <c r="D3" s="170"/>
      <c r="E3" s="170"/>
      <c r="F3" s="72"/>
      <c r="G3" s="74"/>
      <c r="H3" s="75"/>
      <c r="I3" s="72"/>
      <c r="J3" s="72"/>
      <c r="K3" s="72"/>
      <c r="L3" s="72"/>
      <c r="M3" s="72"/>
      <c r="N3" s="72"/>
      <c r="O3" s="72"/>
      <c r="P3" s="72"/>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row>
    <row r="4" spans="1:43" ht="18.75">
      <c r="A4" s="167" t="s">
        <v>187</v>
      </c>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row>
    <row r="5" spans="1:43" ht="19.5">
      <c r="A5" s="76"/>
      <c r="B5" s="76"/>
      <c r="C5" s="76"/>
      <c r="D5" s="76"/>
      <c r="E5" s="76"/>
      <c r="F5" s="76"/>
      <c r="G5" s="76"/>
      <c r="H5" s="77"/>
      <c r="I5" s="76"/>
      <c r="J5" s="76"/>
      <c r="K5" s="76"/>
      <c r="L5" s="76"/>
      <c r="M5" s="76"/>
      <c r="N5" s="76"/>
      <c r="O5" s="76"/>
      <c r="P5" s="76"/>
      <c r="Q5" s="77"/>
      <c r="R5" s="77"/>
      <c r="S5" s="77"/>
      <c r="T5" s="77"/>
      <c r="U5" s="77"/>
      <c r="V5" s="77"/>
      <c r="W5" s="77"/>
      <c r="X5" s="77"/>
      <c r="Y5" s="77"/>
      <c r="Z5" s="77"/>
      <c r="AA5" s="77"/>
      <c r="AB5" s="77"/>
      <c r="AC5" s="77"/>
      <c r="AD5" s="77"/>
      <c r="AE5" s="77"/>
      <c r="AF5" s="77"/>
      <c r="AG5" s="77"/>
      <c r="AH5" s="77"/>
      <c r="AI5" s="77"/>
      <c r="AJ5" s="77"/>
      <c r="AK5" s="77"/>
      <c r="AL5" s="77"/>
      <c r="AM5" s="77"/>
      <c r="AN5" s="77"/>
      <c r="AO5" s="77"/>
      <c r="AP5" s="77"/>
    </row>
    <row r="6" spans="1:43" ht="35.25" customHeight="1">
      <c r="A6" s="168" t="s">
        <v>0</v>
      </c>
      <c r="B6" s="168" t="s">
        <v>58</v>
      </c>
      <c r="C6" s="168" t="s">
        <v>32</v>
      </c>
      <c r="D6" s="168" t="s">
        <v>188</v>
      </c>
      <c r="E6" s="168" t="s">
        <v>189</v>
      </c>
      <c r="F6" s="168" t="s">
        <v>190</v>
      </c>
      <c r="G6" s="168" t="s">
        <v>200</v>
      </c>
      <c r="H6" s="168" t="s">
        <v>193</v>
      </c>
      <c r="I6" s="168" t="s">
        <v>191</v>
      </c>
      <c r="J6" s="168"/>
      <c r="K6" s="168"/>
      <c r="L6" s="168"/>
      <c r="M6" s="168" t="s">
        <v>192</v>
      </c>
      <c r="N6" s="168"/>
      <c r="O6" s="168"/>
      <c r="P6" s="168"/>
      <c r="Q6" s="168" t="s">
        <v>194</v>
      </c>
      <c r="R6" s="168" t="s">
        <v>201</v>
      </c>
      <c r="S6" s="168" t="s">
        <v>198</v>
      </c>
      <c r="T6" s="168" t="s">
        <v>196</v>
      </c>
      <c r="U6" s="168" t="s">
        <v>197</v>
      </c>
      <c r="V6" s="168" t="s">
        <v>202</v>
      </c>
      <c r="W6" s="168" t="s">
        <v>203</v>
      </c>
      <c r="X6" s="168" t="s">
        <v>204</v>
      </c>
      <c r="Y6" s="168"/>
      <c r="Z6" s="168"/>
      <c r="AA6" s="168" t="s">
        <v>125</v>
      </c>
      <c r="AB6" s="168" t="s">
        <v>195</v>
      </c>
      <c r="AC6" s="168" t="s">
        <v>208</v>
      </c>
      <c r="AD6" s="168" t="s">
        <v>209</v>
      </c>
      <c r="AE6" s="168"/>
      <c r="AF6" s="168"/>
      <c r="AG6" s="168"/>
      <c r="AH6" s="168"/>
      <c r="AI6" s="168" t="s">
        <v>215</v>
      </c>
      <c r="AJ6" s="168"/>
      <c r="AK6" s="168"/>
      <c r="AL6" s="168"/>
      <c r="AM6" s="168" t="s">
        <v>218</v>
      </c>
      <c r="AN6" s="168"/>
      <c r="AO6" s="168" t="s">
        <v>221</v>
      </c>
      <c r="AP6" s="168" t="s">
        <v>222</v>
      </c>
      <c r="AQ6" s="93" t="s">
        <v>3</v>
      </c>
    </row>
    <row r="7" spans="1:43" ht="66" customHeight="1">
      <c r="A7" s="168"/>
      <c r="B7" s="168"/>
      <c r="C7" s="168"/>
      <c r="D7" s="168"/>
      <c r="E7" s="168"/>
      <c r="F7" s="168"/>
      <c r="G7" s="168"/>
      <c r="H7" s="168"/>
      <c r="I7" s="94" t="s">
        <v>7</v>
      </c>
      <c r="J7" s="94" t="s">
        <v>37</v>
      </c>
      <c r="K7" s="94" t="s">
        <v>38</v>
      </c>
      <c r="L7" s="94" t="s">
        <v>39</v>
      </c>
      <c r="M7" s="94" t="s">
        <v>223</v>
      </c>
      <c r="N7" s="94" t="s">
        <v>224</v>
      </c>
      <c r="O7" s="94" t="s">
        <v>35</v>
      </c>
      <c r="P7" s="94" t="s">
        <v>36</v>
      </c>
      <c r="Q7" s="168"/>
      <c r="R7" s="168"/>
      <c r="S7" s="168"/>
      <c r="T7" s="168"/>
      <c r="U7" s="168"/>
      <c r="V7" s="168"/>
      <c r="W7" s="168"/>
      <c r="X7" s="93" t="s">
        <v>205</v>
      </c>
      <c r="Y7" s="93" t="s">
        <v>206</v>
      </c>
      <c r="Z7" s="93" t="s">
        <v>207</v>
      </c>
      <c r="AA7" s="168"/>
      <c r="AB7" s="168"/>
      <c r="AC7" s="168"/>
      <c r="AD7" s="93" t="s">
        <v>210</v>
      </c>
      <c r="AE7" s="93" t="s">
        <v>211</v>
      </c>
      <c r="AF7" s="93" t="s">
        <v>212</v>
      </c>
      <c r="AG7" s="93" t="s">
        <v>213</v>
      </c>
      <c r="AH7" s="93" t="s">
        <v>214</v>
      </c>
      <c r="AI7" s="93" t="s">
        <v>207</v>
      </c>
      <c r="AJ7" s="93" t="s">
        <v>24</v>
      </c>
      <c r="AK7" s="93" t="s">
        <v>216</v>
      </c>
      <c r="AL7" s="93" t="s">
        <v>217</v>
      </c>
      <c r="AM7" s="93" t="s">
        <v>219</v>
      </c>
      <c r="AN7" s="93" t="s">
        <v>220</v>
      </c>
      <c r="AO7" s="168"/>
      <c r="AP7" s="168"/>
      <c r="AQ7" s="93"/>
    </row>
    <row r="8" spans="1:43" ht="18.75" customHeight="1">
      <c r="A8" s="78" t="s">
        <v>11</v>
      </c>
      <c r="B8" s="79" t="s">
        <v>199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80"/>
    </row>
    <row r="9" spans="1:43" ht="24" customHeight="1">
      <c r="A9" s="81">
        <v>1</v>
      </c>
      <c r="B9" s="116"/>
      <c r="C9" s="82"/>
      <c r="D9" s="111"/>
      <c r="E9" s="112"/>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4"/>
    </row>
    <row r="10" spans="1:43" ht="24" customHeight="1">
      <c r="A10" s="85">
        <f>+A9+1</f>
        <v>2</v>
      </c>
      <c r="B10" s="116"/>
      <c r="C10" s="86"/>
      <c r="D10" s="111"/>
      <c r="E10" s="112"/>
      <c r="F10" s="83"/>
      <c r="G10" s="83"/>
      <c r="H10" s="87"/>
      <c r="I10" s="83"/>
      <c r="J10" s="83"/>
      <c r="K10" s="83"/>
      <c r="L10" s="83"/>
      <c r="M10" s="83"/>
      <c r="N10" s="87"/>
      <c r="O10" s="87"/>
      <c r="P10" s="87"/>
      <c r="Q10" s="87"/>
      <c r="R10" s="88"/>
      <c r="S10" s="89"/>
      <c r="T10" s="89"/>
      <c r="U10" s="89"/>
      <c r="V10" s="89"/>
      <c r="W10" s="89"/>
      <c r="X10" s="88"/>
      <c r="Y10" s="88"/>
      <c r="Z10" s="88"/>
      <c r="AA10" s="88"/>
      <c r="AB10" s="88"/>
      <c r="AC10" s="88"/>
      <c r="AD10" s="88"/>
      <c r="AE10" s="88"/>
      <c r="AF10" s="88"/>
      <c r="AG10" s="88"/>
      <c r="AH10" s="88"/>
      <c r="AI10" s="88"/>
      <c r="AJ10" s="88"/>
      <c r="AK10" s="88"/>
      <c r="AL10" s="88"/>
      <c r="AM10" s="88"/>
      <c r="AN10" s="88"/>
      <c r="AO10" s="88"/>
      <c r="AP10" s="88"/>
      <c r="AQ10" s="84"/>
    </row>
    <row r="11" spans="1:43" ht="27" customHeight="1">
      <c r="A11" s="93" t="s">
        <v>42</v>
      </c>
      <c r="B11" s="93" t="s">
        <v>233</v>
      </c>
      <c r="C11" s="90"/>
      <c r="D11" s="90"/>
      <c r="E11" s="113"/>
      <c r="F11" s="113"/>
      <c r="G11" s="113"/>
      <c r="H11" s="113"/>
      <c r="I11" s="113"/>
      <c r="J11" s="113"/>
      <c r="K11" s="113"/>
      <c r="L11" s="113"/>
      <c r="M11" s="113"/>
      <c r="N11" s="113"/>
      <c r="O11" s="113"/>
      <c r="P11" s="113"/>
      <c r="Q11" s="113"/>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5"/>
    </row>
    <row r="13" spans="1:43">
      <c r="B13" s="2"/>
      <c r="C13" s="2"/>
      <c r="D13" s="2"/>
      <c r="E13" s="2"/>
      <c r="F13" s="2"/>
      <c r="G13" s="2"/>
      <c r="H13" s="2"/>
      <c r="I13" s="2"/>
      <c r="J13" s="2"/>
      <c r="K13" s="2"/>
      <c r="L13" s="2"/>
      <c r="M13" s="2"/>
      <c r="N13" s="2"/>
      <c r="O13" s="2"/>
      <c r="P13" s="2"/>
      <c r="Q13" s="2"/>
      <c r="R13" s="2"/>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row>
    <row r="18" spans="8:8">
      <c r="H18" s="92"/>
    </row>
  </sheetData>
  <mergeCells count="32">
    <mergeCell ref="AO6:AO7"/>
    <mergeCell ref="G6:G7"/>
    <mergeCell ref="I6:L6"/>
    <mergeCell ref="A1:E1"/>
    <mergeCell ref="A2:E2"/>
    <mergeCell ref="Q2:AQ2"/>
    <mergeCell ref="A3:E3"/>
    <mergeCell ref="A4:AQ4"/>
    <mergeCell ref="M6:P6"/>
    <mergeCell ref="Q6:Q7"/>
    <mergeCell ref="A6:A7"/>
    <mergeCell ref="B6:B7"/>
    <mergeCell ref="C6:C7"/>
    <mergeCell ref="D6:D7"/>
    <mergeCell ref="E6:E7"/>
    <mergeCell ref="F6:F7"/>
    <mergeCell ref="AN1:AQ1"/>
    <mergeCell ref="AP6:AP7"/>
    <mergeCell ref="H6:H7"/>
    <mergeCell ref="W6:W7"/>
    <mergeCell ref="AB6:AB7"/>
    <mergeCell ref="AA6:AA7"/>
    <mergeCell ref="X6:Z6"/>
    <mergeCell ref="R6:R7"/>
    <mergeCell ref="S6:S7"/>
    <mergeCell ref="T6:T7"/>
    <mergeCell ref="U6:U7"/>
    <mergeCell ref="V6:V7"/>
    <mergeCell ref="AC6:AC7"/>
    <mergeCell ref="AD6:AH6"/>
    <mergeCell ref="AI6:AL6"/>
    <mergeCell ref="AM6:AN6"/>
  </mergeCells>
  <pageMargins left="0.7" right="0.7" top="0.75" bottom="0.75" header="0.3" footer="0.3"/>
  <pageSetup paperSize="9" scale="3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4"/>
  <sheetViews>
    <sheetView view="pageBreakPreview" zoomScale="60" zoomScaleNormal="100" workbookViewId="0">
      <selection sqref="A1:I1"/>
    </sheetView>
  </sheetViews>
  <sheetFormatPr defaultRowHeight="12.75"/>
  <cols>
    <col min="1" max="1" width="4.33203125" style="1" bestFit="1" customWidth="1"/>
    <col min="2" max="3" width="8.1640625" style="1" customWidth="1"/>
    <col min="4" max="4" width="13.6640625" style="1" bestFit="1" customWidth="1"/>
    <col min="5" max="5" width="9.1640625" style="1" bestFit="1" customWidth="1"/>
    <col min="6" max="9" width="7.5" style="1" customWidth="1"/>
    <col min="10" max="14" width="8.33203125" style="1" customWidth="1"/>
    <col min="15" max="24" width="6.5" style="1" customWidth="1"/>
    <col min="25" max="28" width="7.5" style="1" customWidth="1"/>
    <col min="29" max="30" width="10.33203125" style="1" customWidth="1"/>
    <col min="31" max="31" width="12.1640625" style="1" customWidth="1"/>
    <col min="32" max="32" width="11.83203125" style="1" customWidth="1"/>
    <col min="33" max="33" width="12.83203125" style="1" customWidth="1"/>
    <col min="34" max="34" width="12.1640625" style="1" customWidth="1"/>
    <col min="35" max="16384" width="9.33203125" style="1"/>
  </cols>
  <sheetData>
    <row r="1" spans="1:34" ht="21" customHeight="1">
      <c r="AE1" s="175" t="s">
        <v>269</v>
      </c>
      <c r="AF1" s="175"/>
      <c r="AG1" s="175"/>
      <c r="AH1" s="175"/>
    </row>
    <row r="2" spans="1:34" ht="21.75" customHeight="1">
      <c r="A2" s="171" t="s">
        <v>243</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row>
    <row r="3" spans="1:34" ht="21.75" customHeight="1">
      <c r="A3" s="172" t="s">
        <v>234</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row>
    <row r="4" spans="1:34" ht="20.25" customHeight="1">
      <c r="A4" s="173" t="s">
        <v>235</v>
      </c>
      <c r="B4" s="173"/>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row>
    <row r="5" spans="1:34" ht="21.75" customHeight="1">
      <c r="A5" s="174" t="s">
        <v>57</v>
      </c>
      <c r="B5" s="174" t="s">
        <v>2</v>
      </c>
      <c r="C5" s="174"/>
      <c r="D5" s="180" t="s">
        <v>32</v>
      </c>
      <c r="E5" s="180" t="s">
        <v>33</v>
      </c>
      <c r="F5" s="174" t="s">
        <v>34</v>
      </c>
      <c r="G5" s="174"/>
      <c r="H5" s="174"/>
      <c r="I5" s="174"/>
      <c r="J5" s="179" t="s">
        <v>25</v>
      </c>
      <c r="K5" s="179"/>
      <c r="L5" s="179"/>
      <c r="M5" s="179"/>
      <c r="N5" s="179"/>
      <c r="O5" s="179" t="s">
        <v>41</v>
      </c>
      <c r="P5" s="179"/>
      <c r="Q5" s="179"/>
      <c r="R5" s="179"/>
      <c r="S5" s="179"/>
      <c r="T5" s="179" t="s">
        <v>43</v>
      </c>
      <c r="U5" s="179"/>
      <c r="V5" s="179"/>
      <c r="W5" s="179"/>
      <c r="X5" s="179"/>
      <c r="Y5" s="174" t="s">
        <v>44</v>
      </c>
      <c r="Z5" s="174"/>
      <c r="AA5" s="174"/>
      <c r="AB5" s="174"/>
      <c r="AC5" s="174" t="s">
        <v>49</v>
      </c>
      <c r="AD5" s="174"/>
      <c r="AE5" s="182" t="s">
        <v>52</v>
      </c>
      <c r="AF5" s="182" t="s">
        <v>53</v>
      </c>
      <c r="AG5" s="182" t="s">
        <v>54</v>
      </c>
      <c r="AH5" s="174" t="s">
        <v>3</v>
      </c>
    </row>
    <row r="6" spans="1:34" ht="85.5" customHeight="1">
      <c r="A6" s="174"/>
      <c r="B6" s="109" t="s">
        <v>13</v>
      </c>
      <c r="C6" s="109" t="s">
        <v>27</v>
      </c>
      <c r="D6" s="181"/>
      <c r="E6" s="181"/>
      <c r="F6" s="109" t="s">
        <v>55</v>
      </c>
      <c r="G6" s="109" t="s">
        <v>56</v>
      </c>
      <c r="H6" s="109" t="s">
        <v>35</v>
      </c>
      <c r="I6" s="109" t="s">
        <v>36</v>
      </c>
      <c r="J6" s="109" t="s">
        <v>7</v>
      </c>
      <c r="K6" s="109" t="s">
        <v>37</v>
      </c>
      <c r="L6" s="109" t="s">
        <v>38</v>
      </c>
      <c r="M6" s="109" t="s">
        <v>39</v>
      </c>
      <c r="N6" s="110" t="s">
        <v>40</v>
      </c>
      <c r="O6" s="5" t="s">
        <v>11</v>
      </c>
      <c r="P6" s="5" t="s">
        <v>42</v>
      </c>
      <c r="Q6" s="5" t="s">
        <v>8</v>
      </c>
      <c r="R6" s="5" t="s">
        <v>9</v>
      </c>
      <c r="S6" s="5" t="s">
        <v>10</v>
      </c>
      <c r="T6" s="5" t="s">
        <v>11</v>
      </c>
      <c r="U6" s="5" t="s">
        <v>42</v>
      </c>
      <c r="V6" s="5" t="s">
        <v>8</v>
      </c>
      <c r="W6" s="5" t="s">
        <v>9</v>
      </c>
      <c r="X6" s="5" t="s">
        <v>10</v>
      </c>
      <c r="Y6" s="110" t="s">
        <v>45</v>
      </c>
      <c r="Z6" s="110" t="s">
        <v>46</v>
      </c>
      <c r="AA6" s="110" t="s">
        <v>47</v>
      </c>
      <c r="AB6" s="110" t="s">
        <v>48</v>
      </c>
      <c r="AC6" s="110" t="s">
        <v>50</v>
      </c>
      <c r="AD6" s="110" t="s">
        <v>51</v>
      </c>
      <c r="AE6" s="182"/>
      <c r="AF6" s="182"/>
      <c r="AG6" s="182"/>
      <c r="AH6" s="174"/>
    </row>
    <row r="7" spans="1:34" ht="20.25" customHeight="1">
      <c r="A7" s="6">
        <v>1</v>
      </c>
      <c r="B7" s="6">
        <v>2</v>
      </c>
      <c r="C7" s="6">
        <v>3</v>
      </c>
      <c r="D7" s="6">
        <v>4</v>
      </c>
      <c r="E7" s="6">
        <v>5</v>
      </c>
      <c r="F7" s="6">
        <v>6</v>
      </c>
      <c r="G7" s="6">
        <v>7</v>
      </c>
      <c r="H7" s="6">
        <v>8</v>
      </c>
      <c r="I7" s="6">
        <v>9</v>
      </c>
      <c r="J7" s="6">
        <v>10</v>
      </c>
      <c r="K7" s="6">
        <v>11</v>
      </c>
      <c r="L7" s="6">
        <v>12</v>
      </c>
      <c r="M7" s="6">
        <v>13</v>
      </c>
      <c r="N7" s="6">
        <v>14</v>
      </c>
      <c r="O7" s="6">
        <v>15</v>
      </c>
      <c r="P7" s="6">
        <v>16</v>
      </c>
      <c r="Q7" s="6">
        <v>17</v>
      </c>
      <c r="R7" s="6">
        <v>18</v>
      </c>
      <c r="S7" s="6">
        <v>19</v>
      </c>
      <c r="T7" s="6">
        <v>20</v>
      </c>
      <c r="U7" s="6">
        <v>21</v>
      </c>
      <c r="V7" s="6">
        <v>22</v>
      </c>
      <c r="W7" s="6">
        <v>23</v>
      </c>
      <c r="X7" s="6">
        <v>24</v>
      </c>
      <c r="Y7" s="6">
        <v>25</v>
      </c>
      <c r="Z7" s="6">
        <v>26</v>
      </c>
      <c r="AA7" s="6">
        <v>27</v>
      </c>
      <c r="AB7" s="6">
        <v>28</v>
      </c>
      <c r="AC7" s="6">
        <v>29</v>
      </c>
      <c r="AD7" s="6">
        <v>30</v>
      </c>
      <c r="AE7" s="6">
        <v>31</v>
      </c>
      <c r="AF7" s="6">
        <v>32</v>
      </c>
      <c r="AG7" s="6">
        <v>33</v>
      </c>
      <c r="AH7" s="6">
        <v>34</v>
      </c>
    </row>
    <row r="8" spans="1:34" s="13" customFormat="1" ht="20.25" customHeight="1">
      <c r="A8" s="10" t="s">
        <v>11</v>
      </c>
      <c r="B8" s="176" t="s">
        <v>230</v>
      </c>
      <c r="C8" s="177"/>
      <c r="D8" s="177"/>
      <c r="E8" s="177"/>
      <c r="F8" s="177"/>
      <c r="G8" s="177"/>
      <c r="H8" s="177"/>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8"/>
    </row>
    <row r="9" spans="1:34" ht="20.25" customHeight="1">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row>
    <row r="10" spans="1:34" ht="20.25" customHeight="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row>
    <row r="11" spans="1:34" ht="20.25"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ht="20.2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ht="20.2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ht="20.2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ht="20.25" customHeight="1">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ht="20.25"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s="13" customFormat="1" ht="20.25" customHeight="1">
      <c r="A17" s="10" t="s">
        <v>42</v>
      </c>
      <c r="B17" s="176" t="s">
        <v>244</v>
      </c>
      <c r="C17" s="177"/>
      <c r="D17" s="177"/>
      <c r="E17" s="177"/>
      <c r="F17" s="177"/>
      <c r="G17" s="177"/>
      <c r="H17" s="177"/>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8"/>
    </row>
    <row r="18" spans="1:34" ht="20.25" customHeight="1">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ht="20.25" customHeight="1">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ht="20.25" customHeight="1">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1:34" ht="20.2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1:34" ht="20.2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s="13" customFormat="1" ht="20.25" customHeight="1">
      <c r="A23" s="10" t="s">
        <v>8</v>
      </c>
      <c r="B23" s="117" t="s">
        <v>31</v>
      </c>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ht="20.2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sheetData>
  <mergeCells count="20">
    <mergeCell ref="B17:AH17"/>
    <mergeCell ref="B8:AH8"/>
    <mergeCell ref="B5:C5"/>
    <mergeCell ref="F5:I5"/>
    <mergeCell ref="J5:N5"/>
    <mergeCell ref="O5:S5"/>
    <mergeCell ref="T5:X5"/>
    <mergeCell ref="D5:D6"/>
    <mergeCell ref="AH5:AH6"/>
    <mergeCell ref="E5:E6"/>
    <mergeCell ref="Y5:AB5"/>
    <mergeCell ref="AC5:AD5"/>
    <mergeCell ref="AE5:AE6"/>
    <mergeCell ref="AF5:AF6"/>
    <mergeCell ref="AG5:AG6"/>
    <mergeCell ref="A2:AH2"/>
    <mergeCell ref="A3:AH3"/>
    <mergeCell ref="A4:AH4"/>
    <mergeCell ref="A5:A6"/>
    <mergeCell ref="AE1:AH1"/>
  </mergeCells>
  <pageMargins left="6.25E-2" right="7.2916666666666671E-2" top="0.33333333333333298" bottom="0.35416666666666702" header="0.3" footer="0.3"/>
  <pageSetup scale="5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AO21"/>
  <sheetViews>
    <sheetView view="pageBreakPreview" zoomScale="85" zoomScaleNormal="70" zoomScaleSheetLayoutView="85" workbookViewId="0">
      <selection activeCell="C19" sqref="C19"/>
    </sheetView>
  </sheetViews>
  <sheetFormatPr defaultRowHeight="12.75"/>
  <cols>
    <col min="1" max="1" width="6.5" customWidth="1"/>
    <col min="2" max="2" width="20.1640625" customWidth="1"/>
    <col min="3" max="3" width="17.5" customWidth="1"/>
    <col min="4" max="4" width="16.5" bestFit="1" customWidth="1"/>
    <col min="5" max="5" width="13" customWidth="1"/>
    <col min="6" max="6" width="12.83203125" customWidth="1"/>
    <col min="7" max="10" width="10" customWidth="1"/>
    <col min="11" max="19" width="9" customWidth="1"/>
    <col min="20" max="25" width="9.6640625" customWidth="1"/>
    <col min="26" max="27" width="10.83203125" customWidth="1"/>
    <col min="31" max="32" width="10.6640625" customWidth="1"/>
    <col min="34" max="35" width="10.6640625" customWidth="1"/>
    <col min="36" max="37" width="10.83203125" customWidth="1"/>
    <col min="38" max="41" width="11.33203125" customWidth="1"/>
  </cols>
  <sheetData>
    <row r="1" spans="1:41" ht="22.5" customHeight="1">
      <c r="AL1" s="183" t="s">
        <v>270</v>
      </c>
      <c r="AM1" s="183"/>
      <c r="AN1" s="183"/>
      <c r="AO1" s="183"/>
    </row>
    <row r="2" spans="1:41" ht="21" customHeight="1">
      <c r="A2" s="185" t="s">
        <v>245</v>
      </c>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row>
    <row r="3" spans="1:41" ht="21" customHeight="1">
      <c r="A3" s="185" t="str">
        <f>+'2. (Mat)'!A3:AA3</f>
        <v>Từ đoạn Km…+… - Km…+… Đường …</v>
      </c>
      <c r="B3" s="185"/>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row>
    <row r="4" spans="1:41" ht="21" customHeight="1">
      <c r="A4" s="186" t="str">
        <f>+'2. (Mat)'!A4:AA4</f>
        <v>Tính đến ngày 31 tháng 12 năm 2023</v>
      </c>
      <c r="B4" s="186"/>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row>
    <row r="5" spans="1:41" s="1" customFormat="1" ht="33" customHeight="1">
      <c r="A5" s="174" t="s">
        <v>0</v>
      </c>
      <c r="B5" s="174" t="s">
        <v>17</v>
      </c>
      <c r="C5" s="174" t="s">
        <v>58</v>
      </c>
      <c r="D5" s="182" t="s">
        <v>59</v>
      </c>
      <c r="E5" s="182" t="s">
        <v>60</v>
      </c>
      <c r="F5" s="182" t="s">
        <v>61</v>
      </c>
      <c r="G5" s="182" t="s">
        <v>62</v>
      </c>
      <c r="H5" s="182" t="s">
        <v>63</v>
      </c>
      <c r="I5" s="182" t="s">
        <v>280</v>
      </c>
      <c r="J5" s="182" t="s">
        <v>64</v>
      </c>
      <c r="K5" s="179" t="s">
        <v>14</v>
      </c>
      <c r="L5" s="179"/>
      <c r="M5" s="179"/>
      <c r="N5" s="179"/>
      <c r="O5" s="179"/>
      <c r="P5" s="179"/>
      <c r="Q5" s="179"/>
      <c r="R5" s="179"/>
      <c r="S5" s="179"/>
      <c r="T5" s="179" t="s">
        <v>15</v>
      </c>
      <c r="U5" s="179"/>
      <c r="V5" s="179"/>
      <c r="W5" s="179"/>
      <c r="X5" s="179"/>
      <c r="Y5" s="179"/>
      <c r="Z5" s="174" t="s">
        <v>16</v>
      </c>
      <c r="AA5" s="174"/>
      <c r="AB5" s="184" t="s">
        <v>77</v>
      </c>
      <c r="AC5" s="184" t="s">
        <v>78</v>
      </c>
      <c r="AD5" s="184" t="s">
        <v>79</v>
      </c>
      <c r="AE5" s="174" t="s">
        <v>80</v>
      </c>
      <c r="AF5" s="174"/>
      <c r="AG5" s="182" t="s">
        <v>83</v>
      </c>
      <c r="AH5" s="182" t="s">
        <v>84</v>
      </c>
      <c r="AI5" s="182"/>
      <c r="AJ5" s="182" t="s">
        <v>87</v>
      </c>
      <c r="AK5" s="182"/>
      <c r="AL5" s="182" t="s">
        <v>89</v>
      </c>
      <c r="AM5" s="182" t="s">
        <v>90</v>
      </c>
      <c r="AN5" s="182" t="s">
        <v>91</v>
      </c>
      <c r="AO5" s="182" t="s">
        <v>92</v>
      </c>
    </row>
    <row r="6" spans="1:41" s="1" customFormat="1" ht="85.5" customHeight="1">
      <c r="A6" s="174"/>
      <c r="B6" s="174"/>
      <c r="C6" s="174"/>
      <c r="D6" s="182"/>
      <c r="E6" s="182"/>
      <c r="F6" s="182"/>
      <c r="G6" s="182"/>
      <c r="H6" s="182"/>
      <c r="I6" s="182"/>
      <c r="J6" s="182"/>
      <c r="K6" s="3" t="s">
        <v>65</v>
      </c>
      <c r="L6" s="3" t="s">
        <v>66</v>
      </c>
      <c r="M6" s="3" t="s">
        <v>12</v>
      </c>
      <c r="N6" s="3" t="s">
        <v>67</v>
      </c>
      <c r="O6" s="3" t="s">
        <v>1</v>
      </c>
      <c r="P6" s="3" t="s">
        <v>68</v>
      </c>
      <c r="Q6" s="3" t="s">
        <v>69</v>
      </c>
      <c r="R6" s="3" t="s">
        <v>18</v>
      </c>
      <c r="S6" s="3" t="s">
        <v>70</v>
      </c>
      <c r="T6" s="5" t="s">
        <v>71</v>
      </c>
      <c r="U6" s="5" t="s">
        <v>72</v>
      </c>
      <c r="V6" s="5" t="s">
        <v>73</v>
      </c>
      <c r="W6" s="5" t="s">
        <v>74</v>
      </c>
      <c r="X6" s="5" t="s">
        <v>72</v>
      </c>
      <c r="Y6" s="5" t="s">
        <v>19</v>
      </c>
      <c r="Z6" s="5" t="s">
        <v>75</v>
      </c>
      <c r="AA6" s="5" t="s">
        <v>76</v>
      </c>
      <c r="AB6" s="184"/>
      <c r="AC6" s="184"/>
      <c r="AD6" s="184"/>
      <c r="AE6" s="8" t="s">
        <v>81</v>
      </c>
      <c r="AF6" s="5" t="s">
        <v>82</v>
      </c>
      <c r="AG6" s="182"/>
      <c r="AH6" s="3" t="s">
        <v>85</v>
      </c>
      <c r="AI6" s="9" t="s">
        <v>86</v>
      </c>
      <c r="AJ6" s="9" t="s">
        <v>88</v>
      </c>
      <c r="AK6" s="9" t="s">
        <v>12</v>
      </c>
      <c r="AL6" s="182"/>
      <c r="AM6" s="182"/>
      <c r="AN6" s="182"/>
      <c r="AO6" s="182"/>
    </row>
    <row r="7" spans="1:41" s="1" customFormat="1" ht="20.25" customHeight="1">
      <c r="A7" s="6">
        <v>1</v>
      </c>
      <c r="B7" s="6">
        <v>2</v>
      </c>
      <c r="C7" s="6">
        <v>3</v>
      </c>
      <c r="D7" s="6">
        <v>4</v>
      </c>
      <c r="E7" s="6">
        <v>5</v>
      </c>
      <c r="F7" s="6">
        <v>6</v>
      </c>
      <c r="G7" s="6">
        <v>7</v>
      </c>
      <c r="H7" s="6">
        <v>8</v>
      </c>
      <c r="I7" s="6">
        <v>9</v>
      </c>
      <c r="J7" s="6">
        <v>10</v>
      </c>
      <c r="K7" s="6">
        <v>11</v>
      </c>
      <c r="L7" s="6">
        <v>12</v>
      </c>
      <c r="M7" s="6">
        <v>13</v>
      </c>
      <c r="N7" s="6">
        <v>14</v>
      </c>
      <c r="O7" s="6">
        <v>15</v>
      </c>
      <c r="P7" s="6">
        <v>16</v>
      </c>
      <c r="Q7" s="6">
        <v>17</v>
      </c>
      <c r="R7" s="6">
        <v>18</v>
      </c>
      <c r="S7" s="6">
        <v>19</v>
      </c>
      <c r="T7" s="6">
        <v>20</v>
      </c>
      <c r="U7" s="6">
        <v>21</v>
      </c>
      <c r="V7" s="6">
        <v>22</v>
      </c>
      <c r="W7" s="6">
        <v>23</v>
      </c>
      <c r="X7" s="6">
        <v>24</v>
      </c>
      <c r="Y7" s="6">
        <v>25</v>
      </c>
      <c r="Z7" s="6">
        <v>26</v>
      </c>
      <c r="AA7" s="6">
        <v>27</v>
      </c>
      <c r="AB7" s="6">
        <v>28</v>
      </c>
      <c r="AC7" s="6">
        <v>29</v>
      </c>
      <c r="AD7" s="6">
        <v>30</v>
      </c>
      <c r="AE7" s="6">
        <v>31</v>
      </c>
      <c r="AF7" s="6">
        <v>32</v>
      </c>
      <c r="AG7" s="6">
        <v>33</v>
      </c>
      <c r="AH7" s="6">
        <v>34</v>
      </c>
      <c r="AI7" s="6">
        <v>35</v>
      </c>
      <c r="AJ7" s="6">
        <v>36</v>
      </c>
      <c r="AK7" s="6">
        <v>37</v>
      </c>
      <c r="AL7" s="6">
        <v>38</v>
      </c>
      <c r="AM7" s="6">
        <v>39</v>
      </c>
      <c r="AN7" s="6">
        <v>40</v>
      </c>
      <c r="AO7" s="6">
        <v>41</v>
      </c>
    </row>
    <row r="8" spans="1:41" s="13" customFormat="1" ht="20.25" customHeight="1">
      <c r="A8" s="10" t="s">
        <v>11</v>
      </c>
      <c r="B8" s="176" t="s">
        <v>230</v>
      </c>
      <c r="C8" s="177"/>
      <c r="D8" s="177"/>
      <c r="E8" s="177"/>
      <c r="F8" s="177"/>
      <c r="G8" s="177"/>
      <c r="H8" s="177"/>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8"/>
    </row>
    <row r="9" spans="1:41" s="1" customFormat="1" ht="20.25" customHeight="1">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row>
    <row r="10" spans="1:41" s="1" customFormat="1" ht="20.25" customHeight="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row>
    <row r="11" spans="1:41" s="1" customFormat="1" ht="20.25"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row>
    <row r="12" spans="1:41" s="1" customFormat="1" ht="20.2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row>
    <row r="13" spans="1:41" s="1" customFormat="1" ht="20.2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row>
    <row r="14" spans="1:41" s="1" customFormat="1" ht="20.2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row>
    <row r="15" spans="1:41" s="13" customFormat="1" ht="20.25" customHeight="1">
      <c r="A15" s="10" t="s">
        <v>42</v>
      </c>
      <c r="B15" s="176" t="s">
        <v>246</v>
      </c>
      <c r="C15" s="177"/>
      <c r="D15" s="177"/>
      <c r="E15" s="177"/>
      <c r="F15" s="177"/>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8"/>
    </row>
    <row r="16" spans="1:41" s="1" customFormat="1" ht="20.25"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row>
    <row r="17" spans="1:41" s="13" customFormat="1" ht="20.25" customHeight="1">
      <c r="A17" s="10"/>
      <c r="B17" s="176"/>
      <c r="C17" s="177"/>
      <c r="D17" s="177"/>
      <c r="E17" s="177"/>
      <c r="F17" s="177"/>
      <c r="G17" s="177"/>
      <c r="H17" s="177"/>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8"/>
    </row>
    <row r="18" spans="1:41" s="1" customFormat="1" ht="20.25" customHeight="1">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row>
    <row r="19" spans="1:41" s="13" customFormat="1" ht="20.25" customHeight="1">
      <c r="A19" s="10" t="s">
        <v>8</v>
      </c>
      <c r="B19" s="117" t="s">
        <v>31</v>
      </c>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c r="AA19" s="117"/>
      <c r="AB19" s="117"/>
      <c r="AC19" s="117"/>
      <c r="AD19" s="117"/>
      <c r="AE19" s="117"/>
      <c r="AF19" s="117"/>
      <c r="AG19" s="117"/>
      <c r="AH19" s="117"/>
      <c r="AI19" s="10"/>
      <c r="AJ19" s="10"/>
      <c r="AK19" s="10"/>
      <c r="AL19" s="10"/>
      <c r="AM19" s="10"/>
      <c r="AN19" s="10"/>
      <c r="AO19" s="10"/>
    </row>
    <row r="21" spans="1:41" s="2" customFormat="1" ht="16.5">
      <c r="AL21" s="185"/>
      <c r="AM21" s="185"/>
    </row>
  </sheetData>
  <mergeCells count="32">
    <mergeCell ref="AL21:AM21"/>
    <mergeCell ref="B8:AH8"/>
    <mergeCell ref="B15:AH15"/>
    <mergeCell ref="B17:AH17"/>
    <mergeCell ref="AM5:AM6"/>
    <mergeCell ref="I5:I6"/>
    <mergeCell ref="J5:J6"/>
    <mergeCell ref="Z5:AA5"/>
    <mergeCell ref="AB5:AB6"/>
    <mergeCell ref="F5:F6"/>
    <mergeCell ref="G5:G6"/>
    <mergeCell ref="D5:D6"/>
    <mergeCell ref="AE5:AF5"/>
    <mergeCell ref="AG5:AG6"/>
    <mergeCell ref="K5:S5"/>
    <mergeCell ref="T5:Y5"/>
    <mergeCell ref="AL1:AO1"/>
    <mergeCell ref="AC5:AC6"/>
    <mergeCell ref="AD5:AD6"/>
    <mergeCell ref="AJ5:AK5"/>
    <mergeCell ref="AL5:AL6"/>
    <mergeCell ref="AN5:AN6"/>
    <mergeCell ref="A2:AO2"/>
    <mergeCell ref="A3:AO3"/>
    <mergeCell ref="A4:AO4"/>
    <mergeCell ref="A5:A6"/>
    <mergeCell ref="E5:E6"/>
    <mergeCell ref="AH5:AI5"/>
    <mergeCell ref="AO5:AO6"/>
    <mergeCell ref="B5:B6"/>
    <mergeCell ref="C5:C6"/>
    <mergeCell ref="H5:H6"/>
  </mergeCells>
  <phoneticPr fontId="0" type="noConversion"/>
  <pageMargins left="0.11811023622047245" right="0" top="0.55118110236220474" bottom="0.62992125984251968" header="0.51181102362204722" footer="0.51181102362204722"/>
  <pageSetup paperSize="9" scale="3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13"/>
  </sheetPr>
  <dimension ref="A1:O30"/>
  <sheetViews>
    <sheetView view="pageBreakPreview" zoomScale="85" zoomScaleNormal="100" zoomScaleSheetLayoutView="85" workbookViewId="0">
      <selection sqref="A1:I1"/>
    </sheetView>
  </sheetViews>
  <sheetFormatPr defaultRowHeight="12.75"/>
  <cols>
    <col min="1" max="1" width="6.5" customWidth="1"/>
    <col min="2" max="2" width="30.1640625" customWidth="1"/>
    <col min="3" max="3" width="17.5" customWidth="1"/>
    <col min="4" max="4" width="16.5" bestFit="1" customWidth="1"/>
    <col min="5" max="5" width="13" customWidth="1"/>
    <col min="6" max="6" width="12.83203125" customWidth="1"/>
    <col min="7" max="12" width="10.1640625" customWidth="1"/>
    <col min="13" max="13" width="11.83203125" customWidth="1"/>
    <col min="14" max="14" width="11.5" customWidth="1"/>
    <col min="15" max="15" width="16.83203125" customWidth="1"/>
  </cols>
  <sheetData>
    <row r="1" spans="1:15" ht="21" customHeight="1">
      <c r="M1" s="175" t="s">
        <v>271</v>
      </c>
      <c r="N1" s="175"/>
      <c r="O1" s="175"/>
    </row>
    <row r="2" spans="1:15" ht="21.75" customHeight="1">
      <c r="A2" s="185" t="s">
        <v>247</v>
      </c>
      <c r="B2" s="185"/>
      <c r="C2" s="185"/>
      <c r="D2" s="185"/>
      <c r="E2" s="185"/>
      <c r="F2" s="185"/>
      <c r="G2" s="185"/>
      <c r="H2" s="185"/>
      <c r="I2" s="185"/>
      <c r="J2" s="185"/>
      <c r="K2" s="185"/>
      <c r="L2" s="185"/>
      <c r="M2" s="185"/>
      <c r="N2" s="185"/>
      <c r="O2" s="185"/>
    </row>
    <row r="3" spans="1:15" ht="16.5">
      <c r="A3" s="185" t="str">
        <f>+'2. (Mat)'!A3:AA3</f>
        <v>Từ đoạn Km…+… - Km…+… Đường …</v>
      </c>
      <c r="B3" s="185"/>
      <c r="C3" s="185"/>
      <c r="D3" s="185"/>
      <c r="E3" s="185"/>
      <c r="F3" s="185"/>
      <c r="G3" s="185"/>
      <c r="H3" s="185"/>
      <c r="I3" s="185"/>
      <c r="J3" s="185"/>
      <c r="K3" s="185"/>
      <c r="L3" s="185"/>
      <c r="M3" s="185"/>
      <c r="N3" s="185"/>
      <c r="O3" s="185"/>
    </row>
    <row r="4" spans="1:15" ht="16.5">
      <c r="A4" s="185" t="str">
        <f>+'2. (Mat)'!A4:AA4</f>
        <v>Tính đến ngày 31 tháng 12 năm 2023</v>
      </c>
      <c r="B4" s="185"/>
      <c r="C4" s="185"/>
      <c r="D4" s="185"/>
      <c r="E4" s="185"/>
      <c r="F4" s="185"/>
      <c r="G4" s="185"/>
      <c r="H4" s="185"/>
      <c r="I4" s="185"/>
      <c r="J4" s="185"/>
      <c r="K4" s="185"/>
      <c r="L4" s="185"/>
      <c r="M4" s="185"/>
      <c r="N4" s="185"/>
      <c r="O4" s="185"/>
    </row>
    <row r="5" spans="1:15" ht="16.5">
      <c r="A5" s="7"/>
      <c r="B5" s="7"/>
      <c r="C5" s="7"/>
      <c r="D5" s="7"/>
      <c r="E5" s="7"/>
      <c r="F5" s="7"/>
      <c r="G5" s="7"/>
      <c r="H5" s="7"/>
      <c r="I5" s="7"/>
      <c r="J5" s="7"/>
      <c r="K5" s="7"/>
      <c r="L5" s="7"/>
    </row>
    <row r="6" spans="1:15" ht="16.5">
      <c r="A6" s="7"/>
      <c r="B6" s="7"/>
      <c r="C6" s="7"/>
      <c r="D6" s="7"/>
      <c r="E6" s="7"/>
      <c r="F6" s="7"/>
      <c r="G6" s="7"/>
      <c r="H6" s="7"/>
      <c r="I6" s="7"/>
      <c r="J6" s="7"/>
      <c r="K6" s="7"/>
      <c r="L6" s="7"/>
    </row>
    <row r="7" spans="1:15" s="1" customFormat="1" ht="15.75">
      <c r="A7" s="174" t="s">
        <v>93</v>
      </c>
      <c r="B7" s="174" t="s">
        <v>2</v>
      </c>
      <c r="C7" s="174" t="s">
        <v>21</v>
      </c>
      <c r="D7" s="182" t="s">
        <v>22</v>
      </c>
      <c r="E7" s="182"/>
      <c r="F7" s="182"/>
      <c r="G7" s="179" t="s">
        <v>97</v>
      </c>
      <c r="H7" s="179"/>
      <c r="I7" s="179"/>
      <c r="J7" s="179"/>
      <c r="K7" s="179"/>
      <c r="L7" s="179"/>
      <c r="M7" s="184" t="s">
        <v>16</v>
      </c>
      <c r="N7" s="184" t="s">
        <v>77</v>
      </c>
      <c r="O7" s="182" t="s">
        <v>104</v>
      </c>
    </row>
    <row r="8" spans="1:15" s="1" customFormat="1" ht="15.75">
      <c r="A8" s="174"/>
      <c r="B8" s="174"/>
      <c r="C8" s="174"/>
      <c r="D8" s="182" t="s">
        <v>94</v>
      </c>
      <c r="E8" s="182" t="s">
        <v>95</v>
      </c>
      <c r="F8" s="182"/>
      <c r="G8" s="182" t="s">
        <v>98</v>
      </c>
      <c r="H8" s="182" t="s">
        <v>99</v>
      </c>
      <c r="I8" s="182" t="s">
        <v>100</v>
      </c>
      <c r="J8" s="182" t="s">
        <v>101</v>
      </c>
      <c r="K8" s="182" t="s">
        <v>102</v>
      </c>
      <c r="L8" s="182" t="s">
        <v>103</v>
      </c>
      <c r="M8" s="184"/>
      <c r="N8" s="184"/>
      <c r="O8" s="182"/>
    </row>
    <row r="9" spans="1:15" s="1" customFormat="1" ht="15.75">
      <c r="A9" s="174"/>
      <c r="B9" s="174"/>
      <c r="C9" s="174"/>
      <c r="D9" s="182"/>
      <c r="E9" s="4" t="s">
        <v>23</v>
      </c>
      <c r="F9" s="4" t="s">
        <v>96</v>
      </c>
      <c r="G9" s="182"/>
      <c r="H9" s="182"/>
      <c r="I9" s="182"/>
      <c r="J9" s="182"/>
      <c r="K9" s="182"/>
      <c r="L9" s="182"/>
      <c r="M9" s="184"/>
      <c r="N9" s="184"/>
      <c r="O9" s="182"/>
    </row>
    <row r="10" spans="1:15" s="1" customFormat="1" ht="20.25" customHeight="1">
      <c r="A10" s="10" t="s">
        <v>11</v>
      </c>
      <c r="B10" s="12" t="s">
        <v>230</v>
      </c>
      <c r="C10" s="6"/>
      <c r="D10" s="6"/>
      <c r="E10" s="6"/>
      <c r="F10" s="6"/>
      <c r="G10" s="6"/>
      <c r="H10" s="6"/>
      <c r="I10" s="6"/>
      <c r="J10" s="6"/>
      <c r="K10" s="6"/>
      <c r="L10" s="6"/>
      <c r="M10" s="6"/>
      <c r="N10" s="6"/>
      <c r="O10" s="6"/>
    </row>
    <row r="11" spans="1:15" s="1" customFormat="1" ht="20.25" customHeight="1">
      <c r="A11" s="6"/>
      <c r="B11" s="11"/>
      <c r="C11" s="6"/>
      <c r="D11" s="6"/>
      <c r="E11" s="6"/>
      <c r="F11" s="6"/>
      <c r="G11" s="6"/>
      <c r="H11" s="6"/>
      <c r="I11" s="6"/>
      <c r="J11" s="6"/>
      <c r="K11" s="6"/>
      <c r="L11" s="6"/>
      <c r="M11" s="6"/>
      <c r="N11" s="6"/>
      <c r="O11" s="6"/>
    </row>
    <row r="12" spans="1:15" s="1" customFormat="1" ht="20.25" customHeight="1">
      <c r="A12" s="6"/>
      <c r="B12" s="11"/>
      <c r="C12" s="6"/>
      <c r="D12" s="6"/>
      <c r="E12" s="6"/>
      <c r="F12" s="6"/>
      <c r="G12" s="6"/>
      <c r="H12" s="6"/>
      <c r="I12" s="6"/>
      <c r="J12" s="6"/>
      <c r="K12" s="6"/>
      <c r="L12" s="6"/>
      <c r="M12" s="6"/>
      <c r="N12" s="6"/>
      <c r="O12" s="6"/>
    </row>
    <row r="13" spans="1:15" s="1" customFormat="1" ht="20.25" customHeight="1">
      <c r="A13" s="6"/>
      <c r="B13" s="11"/>
      <c r="C13" s="6"/>
      <c r="D13" s="6"/>
      <c r="E13" s="6"/>
      <c r="F13" s="6"/>
      <c r="G13" s="6"/>
      <c r="H13" s="6"/>
      <c r="I13" s="6"/>
      <c r="J13" s="6"/>
      <c r="K13" s="6"/>
      <c r="L13" s="6"/>
      <c r="M13" s="6"/>
      <c r="N13" s="6"/>
      <c r="O13" s="6"/>
    </row>
    <row r="14" spans="1:15" s="1" customFormat="1" ht="20.25" customHeight="1">
      <c r="A14" s="6"/>
      <c r="B14" s="11"/>
      <c r="C14" s="6"/>
      <c r="D14" s="6"/>
      <c r="E14" s="6"/>
      <c r="F14" s="6"/>
      <c r="G14" s="6"/>
      <c r="H14" s="6"/>
      <c r="I14" s="6"/>
      <c r="J14" s="6"/>
      <c r="K14" s="6"/>
      <c r="L14" s="6"/>
      <c r="M14" s="6"/>
      <c r="N14" s="6"/>
      <c r="O14" s="6"/>
    </row>
    <row r="15" spans="1:15" s="1" customFormat="1" ht="20.25" customHeight="1">
      <c r="A15" s="10" t="s">
        <v>42</v>
      </c>
      <c r="B15" s="12" t="s">
        <v>248</v>
      </c>
      <c r="C15" s="6"/>
      <c r="D15" s="6"/>
      <c r="E15" s="6"/>
      <c r="F15" s="6"/>
      <c r="G15" s="6"/>
      <c r="H15" s="6"/>
      <c r="I15" s="6"/>
      <c r="J15" s="6"/>
      <c r="K15" s="6"/>
      <c r="L15" s="6"/>
      <c r="M15" s="6"/>
      <c r="N15" s="6"/>
      <c r="O15" s="6"/>
    </row>
    <row r="16" spans="1:15" s="1" customFormat="1" ht="20.25" customHeight="1">
      <c r="A16" s="6"/>
      <c r="B16" s="11"/>
      <c r="C16" s="6"/>
      <c r="D16" s="6"/>
      <c r="E16" s="6"/>
      <c r="F16" s="6"/>
      <c r="G16" s="6"/>
      <c r="H16" s="6"/>
      <c r="I16" s="6"/>
      <c r="J16" s="6"/>
      <c r="K16" s="6"/>
      <c r="L16" s="6"/>
      <c r="M16" s="6"/>
      <c r="N16" s="6"/>
      <c r="O16" s="6"/>
    </row>
    <row r="17" spans="1:15" s="1" customFormat="1" ht="20.25" customHeight="1">
      <c r="A17" s="6"/>
      <c r="B17" s="11"/>
      <c r="C17" s="6"/>
      <c r="D17" s="6"/>
      <c r="E17" s="6"/>
      <c r="F17" s="6"/>
      <c r="G17" s="6"/>
      <c r="H17" s="6"/>
      <c r="I17" s="6"/>
      <c r="J17" s="6"/>
      <c r="K17" s="6"/>
      <c r="L17" s="6"/>
      <c r="M17" s="6"/>
      <c r="N17" s="6"/>
      <c r="O17" s="6"/>
    </row>
    <row r="18" spans="1:15" s="1" customFormat="1" ht="20.25" customHeight="1">
      <c r="A18" s="6"/>
      <c r="B18" s="11"/>
      <c r="C18" s="6"/>
      <c r="D18" s="6"/>
      <c r="E18" s="6"/>
      <c r="F18" s="6"/>
      <c r="G18" s="6"/>
      <c r="H18" s="6"/>
      <c r="I18" s="6"/>
      <c r="J18" s="6"/>
      <c r="K18" s="6"/>
      <c r="L18" s="6"/>
      <c r="M18" s="6"/>
      <c r="N18" s="6"/>
      <c r="O18" s="6"/>
    </row>
    <row r="19" spans="1:15" s="1" customFormat="1" ht="20.25" customHeight="1">
      <c r="A19" s="10" t="s">
        <v>8</v>
      </c>
      <c r="B19" s="102" t="s">
        <v>31</v>
      </c>
      <c r="C19" s="6"/>
      <c r="D19" s="6"/>
      <c r="E19" s="6"/>
      <c r="F19" s="6"/>
      <c r="G19" s="6"/>
      <c r="H19" s="6"/>
      <c r="I19" s="6"/>
      <c r="J19" s="6"/>
      <c r="K19" s="6"/>
      <c r="L19" s="6"/>
      <c r="M19" s="6"/>
      <c r="N19" s="6"/>
      <c r="O19" s="6"/>
    </row>
    <row r="20" spans="1:15" s="1" customFormat="1" ht="20.25" customHeight="1">
      <c r="A20" s="6"/>
      <c r="B20" s="11"/>
      <c r="C20" s="6"/>
      <c r="D20" s="6"/>
      <c r="E20" s="6"/>
      <c r="F20" s="6"/>
      <c r="G20" s="6"/>
      <c r="H20" s="6"/>
      <c r="I20" s="6"/>
      <c r="J20" s="6"/>
      <c r="K20" s="6"/>
      <c r="L20" s="6"/>
      <c r="M20" s="6"/>
      <c r="N20" s="6"/>
      <c r="O20" s="6"/>
    </row>
    <row r="22" spans="1:15" ht="16.5">
      <c r="A22" s="7"/>
      <c r="B22" s="7" t="s">
        <v>160</v>
      </c>
      <c r="C22" s="7"/>
      <c r="D22" s="7" t="s">
        <v>161</v>
      </c>
      <c r="E22" s="7" t="s">
        <v>162</v>
      </c>
      <c r="F22" s="7"/>
      <c r="G22" s="7" t="s">
        <v>163</v>
      </c>
      <c r="H22" s="7" t="s">
        <v>164</v>
      </c>
      <c r="I22" s="7"/>
      <c r="J22" s="7"/>
      <c r="K22" s="7"/>
      <c r="L22" s="7"/>
    </row>
    <row r="23" spans="1:15" ht="16.5">
      <c r="A23" s="7"/>
      <c r="B23" s="18"/>
      <c r="C23" s="7"/>
      <c r="D23" s="7"/>
      <c r="E23" s="7"/>
      <c r="F23" s="7"/>
      <c r="G23" s="7"/>
      <c r="H23" s="7"/>
      <c r="I23" s="7"/>
      <c r="J23" s="7"/>
      <c r="K23" s="7"/>
      <c r="L23" s="7"/>
    </row>
    <row r="24" spans="1:15" ht="16.5">
      <c r="A24" s="7"/>
      <c r="B24" s="7" t="s">
        <v>165</v>
      </c>
      <c r="C24" s="7"/>
      <c r="D24" s="7" t="s">
        <v>161</v>
      </c>
      <c r="E24" s="7" t="s">
        <v>162</v>
      </c>
      <c r="F24" s="7"/>
      <c r="G24" s="7" t="s">
        <v>161</v>
      </c>
      <c r="H24" s="7" t="s">
        <v>164</v>
      </c>
      <c r="I24" s="7"/>
      <c r="J24" s="7"/>
      <c r="K24" s="7"/>
      <c r="L24" s="7"/>
    </row>
    <row r="25" spans="1:15" ht="16.5">
      <c r="A25" s="7"/>
      <c r="B25" s="7" t="s">
        <v>166</v>
      </c>
      <c r="C25" s="7"/>
      <c r="D25" s="7" t="s">
        <v>161</v>
      </c>
      <c r="E25" s="7" t="s">
        <v>162</v>
      </c>
      <c r="F25" s="7"/>
      <c r="G25" s="7" t="s">
        <v>161</v>
      </c>
      <c r="H25" s="7" t="s">
        <v>164</v>
      </c>
      <c r="I25" s="7"/>
      <c r="J25" s="7"/>
      <c r="K25" s="7"/>
      <c r="L25" s="7"/>
    </row>
    <row r="26" spans="1:15" ht="16.5">
      <c r="A26" s="7"/>
      <c r="B26" s="7" t="s">
        <v>167</v>
      </c>
      <c r="C26" s="7"/>
      <c r="D26" s="7" t="s">
        <v>161</v>
      </c>
      <c r="E26" s="7" t="s">
        <v>162</v>
      </c>
      <c r="F26" s="7"/>
      <c r="G26" s="7" t="s">
        <v>161</v>
      </c>
      <c r="H26" s="7" t="s">
        <v>164</v>
      </c>
      <c r="I26" s="7"/>
      <c r="J26" s="7"/>
      <c r="K26" s="7"/>
      <c r="L26" s="7"/>
    </row>
    <row r="27" spans="1:15" ht="16.5">
      <c r="A27" s="7"/>
      <c r="B27" s="7" t="s">
        <v>168</v>
      </c>
      <c r="C27" s="7"/>
      <c r="D27" s="7" t="s">
        <v>161</v>
      </c>
      <c r="E27" s="7" t="s">
        <v>162</v>
      </c>
      <c r="F27" s="7"/>
      <c r="G27" s="7" t="s">
        <v>161</v>
      </c>
      <c r="H27" s="7" t="s">
        <v>164</v>
      </c>
      <c r="I27" s="7"/>
      <c r="J27" s="7"/>
      <c r="K27" s="7"/>
      <c r="L27" s="7"/>
    </row>
    <row r="28" spans="1:15" ht="16.5">
      <c r="A28" s="7"/>
      <c r="B28" s="7" t="s">
        <v>169</v>
      </c>
      <c r="C28" s="7"/>
      <c r="D28" s="7" t="s">
        <v>161</v>
      </c>
      <c r="E28" s="7" t="s">
        <v>162</v>
      </c>
      <c r="F28" s="7"/>
      <c r="G28" s="7" t="s">
        <v>161</v>
      </c>
      <c r="H28" s="7" t="s">
        <v>164</v>
      </c>
      <c r="I28" s="7"/>
      <c r="J28" s="7"/>
      <c r="K28" s="7"/>
      <c r="L28" s="7"/>
    </row>
    <row r="29" spans="1:15" ht="16.5">
      <c r="A29" s="7"/>
      <c r="B29" s="7" t="s">
        <v>170</v>
      </c>
      <c r="C29" s="7"/>
      <c r="D29" s="7" t="s">
        <v>161</v>
      </c>
      <c r="E29" s="7" t="s">
        <v>162</v>
      </c>
      <c r="F29" s="7"/>
      <c r="G29" s="7" t="s">
        <v>161</v>
      </c>
      <c r="H29" s="7" t="s">
        <v>164</v>
      </c>
      <c r="I29" s="7"/>
      <c r="J29" s="7"/>
      <c r="K29" s="7"/>
      <c r="L29" s="7"/>
    </row>
    <row r="30" spans="1:15" ht="16.5">
      <c r="N30" s="185"/>
      <c r="O30" s="185"/>
    </row>
  </sheetData>
  <mergeCells count="21">
    <mergeCell ref="N30:O30"/>
    <mergeCell ref="O7:O9"/>
    <mergeCell ref="A2:O2"/>
    <mergeCell ref="A3:O3"/>
    <mergeCell ref="A4:O4"/>
    <mergeCell ref="A7:A9"/>
    <mergeCell ref="B7:B9"/>
    <mergeCell ref="C7:C9"/>
    <mergeCell ref="D8:D9"/>
    <mergeCell ref="G7:L7"/>
    <mergeCell ref="G8:G9"/>
    <mergeCell ref="H8:H9"/>
    <mergeCell ref="M7:M9"/>
    <mergeCell ref="N7:N9"/>
    <mergeCell ref="D7:F7"/>
    <mergeCell ref="M1:O1"/>
    <mergeCell ref="E8:F8"/>
    <mergeCell ref="I8:I9"/>
    <mergeCell ref="J8:J9"/>
    <mergeCell ref="K8:K9"/>
    <mergeCell ref="L8:L9"/>
  </mergeCells>
  <phoneticPr fontId="0" type="noConversion"/>
  <pageMargins left="0.43307086614173229" right="0.31496062992125984" top="0.78740157480314965" bottom="0.98425196850393704" header="0.51181102362204722" footer="0.51181102362204722"/>
  <pageSetup paperSize="9" scale="7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Q21"/>
  <sheetViews>
    <sheetView view="pageBreakPreview" zoomScale="85" zoomScaleNormal="100" zoomScaleSheetLayoutView="85" workbookViewId="0">
      <selection sqref="A1:L1"/>
    </sheetView>
  </sheetViews>
  <sheetFormatPr defaultRowHeight="12.75"/>
  <cols>
    <col min="1" max="1" width="6.5" customWidth="1"/>
    <col min="2" max="4" width="20.1640625" customWidth="1"/>
    <col min="5" max="6" width="17.5" customWidth="1"/>
    <col min="7" max="7" width="17.83203125" customWidth="1"/>
    <col min="8" max="10" width="16.5" customWidth="1"/>
    <col min="11" max="11" width="11.83203125" customWidth="1"/>
    <col min="12" max="12" width="16.83203125" customWidth="1"/>
  </cols>
  <sheetData>
    <row r="1" spans="1:17" ht="23.25" customHeight="1">
      <c r="I1" s="175" t="s">
        <v>272</v>
      </c>
      <c r="J1" s="175"/>
      <c r="K1" s="175"/>
      <c r="L1" s="175"/>
    </row>
    <row r="2" spans="1:17" ht="21.75" customHeight="1">
      <c r="A2" s="185" t="s">
        <v>141</v>
      </c>
      <c r="B2" s="185"/>
      <c r="C2" s="185"/>
      <c r="D2" s="185"/>
      <c r="E2" s="185"/>
      <c r="F2" s="185"/>
      <c r="G2" s="185"/>
      <c r="H2" s="185"/>
      <c r="I2" s="185"/>
      <c r="J2" s="185"/>
      <c r="K2" s="185"/>
      <c r="L2" s="185"/>
    </row>
    <row r="3" spans="1:17" ht="21.75" customHeight="1">
      <c r="A3" s="185" t="str">
        <f>+'2. (Mat)'!A3:AA3</f>
        <v>Từ đoạn Km…+… - Km…+… Đường …</v>
      </c>
      <c r="B3" s="185"/>
      <c r="C3" s="185"/>
      <c r="D3" s="185"/>
      <c r="E3" s="185"/>
      <c r="F3" s="185"/>
      <c r="G3" s="185"/>
      <c r="H3" s="185"/>
      <c r="I3" s="185"/>
      <c r="J3" s="185"/>
      <c r="K3" s="185"/>
      <c r="L3" s="185"/>
    </row>
    <row r="4" spans="1:17" ht="21.75" customHeight="1">
      <c r="A4" s="186" t="str">
        <f>+'2. (Mat)'!A4:AA4</f>
        <v>Tính đến ngày 31 tháng 12 năm 2023</v>
      </c>
      <c r="B4" s="186"/>
      <c r="C4" s="186"/>
      <c r="D4" s="186"/>
      <c r="E4" s="186"/>
      <c r="F4" s="186"/>
      <c r="G4" s="186"/>
      <c r="H4" s="186"/>
      <c r="I4" s="186"/>
      <c r="J4" s="186"/>
      <c r="K4" s="186"/>
      <c r="L4" s="186"/>
    </row>
    <row r="5" spans="1:17" s="1" customFormat="1" ht="21.75" customHeight="1">
      <c r="A5" s="174" t="s">
        <v>0</v>
      </c>
      <c r="B5" s="174" t="s">
        <v>2</v>
      </c>
      <c r="C5" s="174" t="s">
        <v>105</v>
      </c>
      <c r="D5" s="174"/>
      <c r="E5" s="174"/>
      <c r="F5" s="190" t="s">
        <v>107</v>
      </c>
      <c r="G5" s="191"/>
      <c r="H5" s="191"/>
      <c r="I5" s="191"/>
      <c r="J5" s="191"/>
      <c r="K5" s="184" t="s">
        <v>113</v>
      </c>
      <c r="L5" s="182" t="s">
        <v>3</v>
      </c>
    </row>
    <row r="6" spans="1:17" s="1" customFormat="1" ht="21.75" customHeight="1">
      <c r="A6" s="174"/>
      <c r="B6" s="174"/>
      <c r="C6" s="174" t="s">
        <v>28</v>
      </c>
      <c r="D6" s="174" t="s">
        <v>106</v>
      </c>
      <c r="E6" s="174" t="s">
        <v>29</v>
      </c>
      <c r="F6" s="182" t="s">
        <v>108</v>
      </c>
      <c r="G6" s="182"/>
      <c r="H6" s="182" t="s">
        <v>110</v>
      </c>
      <c r="I6" s="182"/>
      <c r="J6" s="182"/>
      <c r="K6" s="184"/>
      <c r="L6" s="182"/>
    </row>
    <row r="7" spans="1:17" s="1" customFormat="1" ht="39.75" customHeight="1">
      <c r="A7" s="174"/>
      <c r="B7" s="174"/>
      <c r="C7" s="174"/>
      <c r="D7" s="174"/>
      <c r="E7" s="174"/>
      <c r="F7" s="4" t="s">
        <v>109</v>
      </c>
      <c r="G7" s="3" t="s">
        <v>112</v>
      </c>
      <c r="H7" s="3" t="s">
        <v>111</v>
      </c>
      <c r="I7" s="3" t="s">
        <v>12</v>
      </c>
      <c r="J7" s="3" t="s">
        <v>112</v>
      </c>
      <c r="K7" s="184"/>
      <c r="L7" s="182"/>
    </row>
    <row r="8" spans="1:17" s="13" customFormat="1" ht="24.75" customHeight="1">
      <c r="A8" s="10" t="s">
        <v>11</v>
      </c>
      <c r="B8" s="102" t="s">
        <v>230</v>
      </c>
      <c r="C8" s="15"/>
      <c r="D8" s="15"/>
      <c r="E8" s="15"/>
      <c r="F8" s="15"/>
      <c r="G8" s="15"/>
      <c r="H8" s="15"/>
      <c r="I8" s="15"/>
      <c r="J8" s="15"/>
      <c r="K8" s="10"/>
      <c r="L8" s="10"/>
    </row>
    <row r="9" spans="1:17" s="13" customFormat="1" ht="20.25" customHeight="1">
      <c r="A9" s="10"/>
      <c r="B9" s="12"/>
      <c r="C9" s="10"/>
      <c r="D9" s="14"/>
      <c r="E9" s="10"/>
      <c r="F9" s="10"/>
      <c r="G9" s="14"/>
      <c r="H9" s="10"/>
      <c r="I9" s="10"/>
      <c r="J9" s="14"/>
      <c r="K9" s="10"/>
      <c r="L9" s="10"/>
    </row>
    <row r="10" spans="1:17" s="1" customFormat="1" ht="20.25" customHeight="1">
      <c r="A10" s="6"/>
      <c r="B10" s="11"/>
      <c r="C10" s="6"/>
      <c r="D10" s="6"/>
      <c r="E10" s="6"/>
      <c r="F10" s="6"/>
      <c r="G10" s="6"/>
      <c r="H10" s="6"/>
      <c r="I10" s="6"/>
      <c r="J10" s="6"/>
      <c r="K10" s="6"/>
      <c r="L10" s="6"/>
    </row>
    <row r="11" spans="1:17" s="1" customFormat="1" ht="20.25" customHeight="1">
      <c r="A11" s="6"/>
      <c r="B11" s="11"/>
      <c r="C11" s="6"/>
      <c r="D11" s="6"/>
      <c r="E11" s="6"/>
      <c r="F11" s="6"/>
      <c r="G11" s="6"/>
      <c r="H11" s="6"/>
      <c r="I11" s="6"/>
      <c r="J11" s="6"/>
      <c r="K11" s="6"/>
      <c r="L11" s="6"/>
    </row>
    <row r="12" spans="1:17" s="1" customFormat="1" ht="20.25" customHeight="1">
      <c r="A12" s="6"/>
      <c r="B12" s="11"/>
      <c r="C12" s="6"/>
      <c r="D12" s="6"/>
      <c r="E12" s="6"/>
      <c r="F12" s="6"/>
      <c r="G12" s="6"/>
      <c r="H12" s="6"/>
      <c r="I12" s="6"/>
      <c r="J12" s="6"/>
      <c r="K12" s="6"/>
      <c r="L12" s="6"/>
    </row>
    <row r="13" spans="1:17" ht="18" customHeight="1">
      <c r="A13" s="10" t="s">
        <v>42</v>
      </c>
      <c r="B13" s="187" t="s">
        <v>248</v>
      </c>
      <c r="C13" s="188"/>
      <c r="D13" s="105"/>
      <c r="E13" s="105"/>
      <c r="F13" s="105"/>
      <c r="G13" s="105"/>
      <c r="H13" s="105"/>
      <c r="I13" s="105"/>
      <c r="J13" s="105"/>
      <c r="K13" s="105"/>
      <c r="L13" s="106"/>
    </row>
    <row r="14" spans="1:17" ht="18" customHeight="1">
      <c r="A14" s="6"/>
      <c r="B14" s="11"/>
      <c r="C14" s="103"/>
      <c r="D14" s="103"/>
      <c r="E14" s="103"/>
      <c r="F14" s="103"/>
      <c r="G14" s="103"/>
      <c r="H14" s="103"/>
      <c r="I14" s="103"/>
      <c r="J14" s="103"/>
      <c r="K14" s="103"/>
      <c r="L14" s="103"/>
    </row>
    <row r="15" spans="1:17" ht="18" customHeight="1">
      <c r="A15" s="6"/>
      <c r="B15" s="11"/>
      <c r="C15" s="103"/>
      <c r="D15" s="103"/>
      <c r="E15" s="103"/>
      <c r="F15" s="103"/>
      <c r="G15" s="103"/>
      <c r="H15" s="103"/>
      <c r="I15" s="103"/>
      <c r="J15" s="103"/>
      <c r="K15" s="103"/>
      <c r="L15" s="103"/>
    </row>
    <row r="16" spans="1:17" ht="18" customHeight="1">
      <c r="A16" s="6"/>
      <c r="B16" s="11"/>
      <c r="C16" s="103"/>
      <c r="D16" s="103"/>
      <c r="E16" s="103"/>
      <c r="F16" s="103"/>
      <c r="G16" s="103"/>
      <c r="H16" s="103"/>
      <c r="I16" s="103"/>
      <c r="J16" s="103"/>
      <c r="K16" s="103"/>
      <c r="L16" s="103"/>
      <c r="Q16" t="s">
        <v>240</v>
      </c>
    </row>
    <row r="17" spans="1:12" ht="18" customHeight="1">
      <c r="A17" s="10" t="s">
        <v>8</v>
      </c>
      <c r="B17" s="187" t="s">
        <v>31</v>
      </c>
      <c r="C17" s="189"/>
      <c r="D17" s="103"/>
      <c r="E17" s="103"/>
      <c r="F17" s="103"/>
      <c r="G17" s="103"/>
      <c r="H17" s="103"/>
      <c r="I17" s="103"/>
      <c r="J17" s="103"/>
      <c r="K17" s="103"/>
      <c r="L17" s="103"/>
    </row>
    <row r="21" spans="1:12" ht="16.5">
      <c r="K21" s="185" t="s">
        <v>171</v>
      </c>
      <c r="L21" s="185"/>
    </row>
  </sheetData>
  <mergeCells count="18">
    <mergeCell ref="K21:L21"/>
    <mergeCell ref="B13:C13"/>
    <mergeCell ref="B17:C17"/>
    <mergeCell ref="H6:J6"/>
    <mergeCell ref="K5:K7"/>
    <mergeCell ref="L5:L7"/>
    <mergeCell ref="B5:B7"/>
    <mergeCell ref="C5:E5"/>
    <mergeCell ref="C6:C7"/>
    <mergeCell ref="F5:J5"/>
    <mergeCell ref="D6:D7"/>
    <mergeCell ref="E6:E7"/>
    <mergeCell ref="A3:L3"/>
    <mergeCell ref="A4:L4"/>
    <mergeCell ref="F6:G6"/>
    <mergeCell ref="A5:A7"/>
    <mergeCell ref="I1:L1"/>
    <mergeCell ref="A2:L2"/>
  </mergeCells>
  <phoneticPr fontId="0" type="noConversion"/>
  <pageMargins left="0.74803149606299213" right="0.74803149606299213" top="0.78740157480314965" bottom="0.98425196850393704" header="0.51181102362204722" footer="0.51181102362204722"/>
  <pageSetup paperSize="9" scale="7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Q21"/>
  <sheetViews>
    <sheetView view="pageBreakPreview" zoomScale="85" zoomScaleNormal="100" zoomScaleSheetLayoutView="85" workbookViewId="0">
      <selection sqref="A1:I1"/>
    </sheetView>
  </sheetViews>
  <sheetFormatPr defaultRowHeight="12.75"/>
  <cols>
    <col min="1" max="1" width="6.5" customWidth="1"/>
    <col min="2" max="3" width="11.83203125" customWidth="1"/>
    <col min="4" max="5" width="12" customWidth="1"/>
    <col min="6" max="7" width="17.5" customWidth="1"/>
    <col min="8" max="8" width="17.83203125" customWidth="1"/>
    <col min="9" max="12" width="17.6640625" customWidth="1"/>
    <col min="13" max="13" width="13.33203125" customWidth="1"/>
    <col min="14" max="16" width="12.6640625" hidden="1" customWidth="1"/>
    <col min="17" max="17" width="18.83203125" customWidth="1"/>
  </cols>
  <sheetData>
    <row r="1" spans="1:17" ht="22.5" customHeight="1">
      <c r="L1" s="175" t="s">
        <v>273</v>
      </c>
      <c r="M1" s="175"/>
      <c r="N1" s="175"/>
      <c r="O1" s="175"/>
      <c r="P1" s="175"/>
      <c r="Q1" s="175"/>
    </row>
    <row r="2" spans="1:17" ht="20.100000000000001" customHeight="1">
      <c r="A2" s="171" t="s">
        <v>249</v>
      </c>
      <c r="B2" s="171"/>
      <c r="C2" s="171"/>
      <c r="D2" s="171"/>
      <c r="E2" s="171"/>
      <c r="F2" s="171"/>
      <c r="G2" s="171"/>
      <c r="H2" s="171"/>
      <c r="I2" s="171"/>
      <c r="J2" s="171"/>
      <c r="K2" s="171"/>
      <c r="L2" s="171"/>
      <c r="M2" s="171"/>
      <c r="N2" s="171"/>
      <c r="O2" s="171"/>
      <c r="P2" s="171"/>
      <c r="Q2" s="171"/>
    </row>
    <row r="3" spans="1:17" ht="20.100000000000001" customHeight="1">
      <c r="A3" s="171" t="str">
        <f>+'2. (Mat)'!A3:AA3</f>
        <v>Từ đoạn Km…+… - Km…+… Đường …</v>
      </c>
      <c r="B3" s="171"/>
      <c r="C3" s="171"/>
      <c r="D3" s="171"/>
      <c r="E3" s="171"/>
      <c r="F3" s="171"/>
      <c r="G3" s="171"/>
      <c r="H3" s="171"/>
      <c r="I3" s="171"/>
      <c r="J3" s="171"/>
      <c r="K3" s="171"/>
      <c r="L3" s="171"/>
      <c r="M3" s="171"/>
      <c r="N3" s="171"/>
      <c r="O3" s="171"/>
      <c r="P3" s="171"/>
      <c r="Q3" s="171"/>
    </row>
    <row r="4" spans="1:17" ht="20.100000000000001" customHeight="1">
      <c r="A4" s="192" t="str">
        <f>+'2. (Mat)'!A4:AA4</f>
        <v>Tính đến ngày 31 tháng 12 năm 2023</v>
      </c>
      <c r="B4" s="192"/>
      <c r="C4" s="192"/>
      <c r="D4" s="192"/>
      <c r="E4" s="192"/>
      <c r="F4" s="192"/>
      <c r="G4" s="192"/>
      <c r="H4" s="192"/>
      <c r="I4" s="192"/>
      <c r="J4" s="192"/>
      <c r="K4" s="192"/>
      <c r="L4" s="192"/>
      <c r="M4" s="192"/>
      <c r="N4" s="192"/>
      <c r="O4" s="192"/>
      <c r="P4" s="192"/>
      <c r="Q4" s="192"/>
    </row>
    <row r="5" spans="1:17" s="1" customFormat="1" ht="17.25" customHeight="1">
      <c r="A5" s="174" t="s">
        <v>0</v>
      </c>
      <c r="B5" s="174" t="s">
        <v>2</v>
      </c>
      <c r="C5" s="174"/>
      <c r="D5" s="174" t="s">
        <v>26</v>
      </c>
      <c r="E5" s="174"/>
      <c r="F5" s="174"/>
      <c r="G5" s="182" t="s">
        <v>5</v>
      </c>
      <c r="H5" s="182"/>
      <c r="I5" s="182" t="s">
        <v>4</v>
      </c>
      <c r="J5" s="182"/>
      <c r="K5" s="182"/>
      <c r="L5" s="182"/>
      <c r="M5" s="184" t="s">
        <v>116</v>
      </c>
      <c r="N5" s="184" t="s">
        <v>117</v>
      </c>
      <c r="O5" s="184"/>
      <c r="P5" s="184"/>
      <c r="Q5" s="182" t="s">
        <v>3</v>
      </c>
    </row>
    <row r="6" spans="1:17" s="1" customFormat="1" ht="18.75" customHeight="1">
      <c r="A6" s="174"/>
      <c r="B6" s="174" t="s">
        <v>30</v>
      </c>
      <c r="C6" s="174" t="s">
        <v>6</v>
      </c>
      <c r="D6" s="174" t="s">
        <v>114</v>
      </c>
      <c r="E6" s="174"/>
      <c r="F6" s="174" t="s">
        <v>112</v>
      </c>
      <c r="G6" s="174" t="s">
        <v>115</v>
      </c>
      <c r="H6" s="182" t="s">
        <v>112</v>
      </c>
      <c r="I6" s="182" t="s">
        <v>24</v>
      </c>
      <c r="J6" s="182"/>
      <c r="K6" s="182" t="s">
        <v>20</v>
      </c>
      <c r="L6" s="182"/>
      <c r="M6" s="184"/>
      <c r="N6" s="184" t="s">
        <v>118</v>
      </c>
      <c r="O6" s="184" t="s">
        <v>111</v>
      </c>
      <c r="P6" s="184" t="s">
        <v>112</v>
      </c>
      <c r="Q6" s="182"/>
    </row>
    <row r="7" spans="1:17" s="1" customFormat="1" ht="41.25" customHeight="1">
      <c r="A7" s="174"/>
      <c r="B7" s="174"/>
      <c r="C7" s="174"/>
      <c r="D7" s="4" t="s">
        <v>28</v>
      </c>
      <c r="E7" s="4" t="s">
        <v>29</v>
      </c>
      <c r="F7" s="174"/>
      <c r="G7" s="174"/>
      <c r="H7" s="182"/>
      <c r="I7" s="3" t="s">
        <v>115</v>
      </c>
      <c r="J7" s="3" t="s">
        <v>112</v>
      </c>
      <c r="K7" s="3" t="s">
        <v>115</v>
      </c>
      <c r="L7" s="3" t="s">
        <v>112</v>
      </c>
      <c r="M7" s="184"/>
      <c r="N7" s="184"/>
      <c r="O7" s="184"/>
      <c r="P7" s="184"/>
      <c r="Q7" s="182"/>
    </row>
    <row r="8" spans="1:17" s="13" customFormat="1" ht="20.25" customHeight="1">
      <c r="A8" s="10" t="s">
        <v>11</v>
      </c>
      <c r="B8" s="187" t="s">
        <v>230</v>
      </c>
      <c r="C8" s="189"/>
      <c r="D8" s="10"/>
      <c r="E8" s="10"/>
      <c r="F8" s="10"/>
      <c r="G8" s="10"/>
      <c r="H8" s="10"/>
      <c r="I8" s="10"/>
      <c r="J8" s="10"/>
      <c r="K8" s="10"/>
      <c r="L8" s="10"/>
      <c r="M8" s="10"/>
      <c r="N8" s="10"/>
      <c r="O8" s="10"/>
      <c r="P8" s="10"/>
      <c r="Q8" s="10"/>
    </row>
    <row r="9" spans="1:17" s="1" customFormat="1" ht="20.25" customHeight="1">
      <c r="A9" s="6"/>
      <c r="B9" s="11"/>
      <c r="C9" s="11"/>
      <c r="D9" s="6"/>
      <c r="E9" s="6"/>
      <c r="F9" s="6"/>
      <c r="G9" s="6"/>
      <c r="H9" s="6"/>
      <c r="I9" s="6"/>
      <c r="J9" s="6"/>
      <c r="K9" s="6"/>
      <c r="L9" s="6"/>
      <c r="M9" s="6"/>
      <c r="N9" s="6"/>
      <c r="O9" s="6"/>
      <c r="P9" s="6"/>
      <c r="Q9" s="6"/>
    </row>
    <row r="10" spans="1:17" s="1" customFormat="1" ht="20.25" customHeight="1">
      <c r="A10" s="6"/>
      <c r="B10" s="11"/>
      <c r="C10" s="11"/>
      <c r="D10" s="6"/>
      <c r="E10" s="6"/>
      <c r="F10" s="6"/>
      <c r="G10" s="6"/>
      <c r="H10" s="6"/>
      <c r="I10" s="6"/>
      <c r="J10" s="6"/>
      <c r="K10" s="6"/>
      <c r="L10" s="6"/>
      <c r="M10" s="6"/>
      <c r="N10" s="6"/>
      <c r="O10" s="6"/>
      <c r="P10" s="6"/>
      <c r="Q10" s="6"/>
    </row>
    <row r="11" spans="1:17" s="1" customFormat="1" ht="20.25" customHeight="1">
      <c r="A11" s="6"/>
      <c r="B11" s="11"/>
      <c r="C11" s="11"/>
      <c r="D11" s="6"/>
      <c r="E11" s="6"/>
      <c r="F11" s="6"/>
      <c r="G11" s="6"/>
      <c r="H11" s="6"/>
      <c r="I11" s="6"/>
      <c r="J11" s="6"/>
      <c r="K11" s="6"/>
      <c r="L11" s="6"/>
      <c r="M11" s="6"/>
      <c r="N11" s="6"/>
      <c r="O11" s="6"/>
      <c r="P11" s="6"/>
      <c r="Q11" s="6"/>
    </row>
    <row r="12" spans="1:17" s="1" customFormat="1" ht="20.25" customHeight="1">
      <c r="A12" s="6"/>
      <c r="B12" s="11"/>
      <c r="C12" s="11"/>
      <c r="D12" s="6"/>
      <c r="E12" s="6"/>
      <c r="F12" s="6"/>
      <c r="G12" s="6"/>
      <c r="H12" s="6"/>
      <c r="I12" s="6"/>
      <c r="J12" s="6"/>
      <c r="K12" s="6"/>
      <c r="L12" s="6"/>
      <c r="M12" s="6"/>
      <c r="N12" s="6"/>
      <c r="O12" s="6"/>
      <c r="P12" s="6"/>
      <c r="Q12" s="6"/>
    </row>
    <row r="13" spans="1:17" s="1" customFormat="1" ht="20.25" customHeight="1">
      <c r="A13" s="6"/>
      <c r="B13" s="11"/>
      <c r="C13" s="11"/>
      <c r="D13" s="6"/>
      <c r="E13" s="6"/>
      <c r="F13" s="6"/>
      <c r="G13" s="6"/>
      <c r="H13" s="6"/>
      <c r="I13" s="6"/>
      <c r="J13" s="6"/>
      <c r="K13" s="6"/>
      <c r="L13" s="6"/>
      <c r="M13" s="6"/>
      <c r="N13" s="6"/>
      <c r="O13" s="6"/>
      <c r="P13" s="6"/>
      <c r="Q13" s="6"/>
    </row>
    <row r="14" spans="1:17" s="1" customFormat="1" ht="20.25" customHeight="1">
      <c r="A14" s="10" t="s">
        <v>42</v>
      </c>
      <c r="B14" s="104" t="s">
        <v>238</v>
      </c>
      <c r="C14" s="106"/>
      <c r="D14" s="6"/>
      <c r="E14" s="6"/>
      <c r="F14" s="6"/>
      <c r="G14" s="6"/>
      <c r="H14" s="6"/>
      <c r="I14" s="6"/>
      <c r="J14" s="6"/>
      <c r="K14" s="6"/>
      <c r="L14" s="6"/>
      <c r="M14" s="6"/>
      <c r="N14" s="6"/>
      <c r="O14" s="6"/>
      <c r="P14" s="6"/>
      <c r="Q14" s="6"/>
    </row>
    <row r="15" spans="1:17" s="1" customFormat="1" ht="20.25" customHeight="1">
      <c r="A15" s="6"/>
      <c r="B15" s="11"/>
      <c r="C15" s="103"/>
      <c r="D15" s="6"/>
      <c r="E15" s="6"/>
      <c r="F15" s="6"/>
      <c r="G15" s="6"/>
      <c r="H15" s="6"/>
      <c r="I15" s="6"/>
      <c r="J15" s="6"/>
      <c r="K15" s="6"/>
      <c r="L15" s="6"/>
      <c r="M15" s="6"/>
      <c r="N15" s="6"/>
      <c r="O15" s="6"/>
      <c r="P15" s="6"/>
      <c r="Q15" s="6"/>
    </row>
    <row r="16" spans="1:17" s="1" customFormat="1" ht="20.25" customHeight="1">
      <c r="A16" s="6"/>
      <c r="B16" s="11"/>
      <c r="C16" s="103"/>
      <c r="D16" s="6"/>
      <c r="E16" s="6"/>
      <c r="F16" s="6"/>
      <c r="G16" s="6"/>
      <c r="H16" s="6"/>
      <c r="I16" s="6"/>
      <c r="J16" s="6"/>
      <c r="K16" s="6"/>
      <c r="L16" s="6"/>
      <c r="M16" s="6"/>
      <c r="N16" s="6"/>
      <c r="O16" s="6"/>
      <c r="P16" s="6"/>
      <c r="Q16" s="6"/>
    </row>
    <row r="17" spans="1:17" s="1" customFormat="1" ht="20.25" customHeight="1">
      <c r="A17" s="6"/>
      <c r="B17" s="11"/>
      <c r="C17" s="103"/>
      <c r="D17" s="6"/>
      <c r="E17" s="6"/>
      <c r="F17" s="6"/>
      <c r="G17" s="6"/>
      <c r="H17" s="6"/>
      <c r="I17" s="6"/>
      <c r="J17" s="6"/>
      <c r="K17" s="6"/>
      <c r="L17" s="6"/>
      <c r="M17" s="6"/>
      <c r="N17" s="6"/>
      <c r="O17" s="6"/>
      <c r="P17" s="6"/>
      <c r="Q17" s="6"/>
    </row>
    <row r="18" spans="1:17" s="1" customFormat="1" ht="20.25" customHeight="1">
      <c r="A18" s="10" t="s">
        <v>8</v>
      </c>
      <c r="B18" s="187" t="s">
        <v>31</v>
      </c>
      <c r="C18" s="189"/>
      <c r="D18" s="6"/>
      <c r="E18" s="6"/>
      <c r="F18" s="6"/>
      <c r="G18" s="6"/>
      <c r="H18" s="6"/>
      <c r="I18" s="6"/>
      <c r="J18" s="6"/>
      <c r="K18" s="6"/>
      <c r="L18" s="6"/>
      <c r="M18" s="6"/>
      <c r="N18" s="6"/>
      <c r="O18" s="6"/>
      <c r="P18" s="6"/>
      <c r="Q18" s="6"/>
    </row>
    <row r="19" spans="1:17" s="1" customFormat="1" ht="20.25" customHeight="1">
      <c r="A19" s="6"/>
      <c r="B19" s="11"/>
      <c r="C19" s="11"/>
      <c r="D19" s="6"/>
      <c r="E19" s="6"/>
      <c r="F19" s="6"/>
      <c r="G19" s="6"/>
      <c r="H19" s="6"/>
      <c r="I19" s="6"/>
      <c r="J19" s="6"/>
      <c r="K19" s="6"/>
      <c r="L19" s="6"/>
      <c r="M19" s="6"/>
      <c r="N19" s="6"/>
      <c r="O19" s="6"/>
      <c r="P19" s="6"/>
      <c r="Q19" s="6"/>
    </row>
    <row r="21" spans="1:17" ht="16.5">
      <c r="P21" s="185" t="s">
        <v>171</v>
      </c>
      <c r="Q21" s="185"/>
    </row>
  </sheetData>
  <mergeCells count="26">
    <mergeCell ref="H6:H7"/>
    <mergeCell ref="Q5:Q7"/>
    <mergeCell ref="F6:F7"/>
    <mergeCell ref="I6:J6"/>
    <mergeCell ref="K6:L6"/>
    <mergeCell ref="I5:L5"/>
    <mergeCell ref="N5:P5"/>
    <mergeCell ref="N6:N7"/>
    <mergeCell ref="O6:O7"/>
    <mergeCell ref="P6:P7"/>
    <mergeCell ref="L1:Q1"/>
    <mergeCell ref="A2:Q2"/>
    <mergeCell ref="A3:Q3"/>
    <mergeCell ref="A4:Q4"/>
    <mergeCell ref="P21:Q21"/>
    <mergeCell ref="B18:C18"/>
    <mergeCell ref="B8:C8"/>
    <mergeCell ref="A5:A7"/>
    <mergeCell ref="D5:F5"/>
    <mergeCell ref="B5:C5"/>
    <mergeCell ref="B6:B7"/>
    <mergeCell ref="C6:C7"/>
    <mergeCell ref="D6:E6"/>
    <mergeCell ref="G5:H5"/>
    <mergeCell ref="G6:G7"/>
    <mergeCell ref="M5:M7"/>
  </mergeCells>
  <phoneticPr fontId="0" type="noConversion"/>
  <pageMargins left="0.75" right="0.75" top="1" bottom="1" header="0.5" footer="0.5"/>
  <pageSetup paperSize="9" scale="6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U21"/>
  <sheetViews>
    <sheetView view="pageBreakPreview" zoomScale="85" zoomScaleNormal="100" zoomScaleSheetLayoutView="85" workbookViewId="0">
      <selection sqref="A1:I1"/>
    </sheetView>
  </sheetViews>
  <sheetFormatPr defaultRowHeight="12.75"/>
  <cols>
    <col min="1" max="1" width="6.5" customWidth="1"/>
    <col min="2" max="3" width="11.83203125" customWidth="1"/>
    <col min="4" max="5" width="12" customWidth="1"/>
    <col min="6" max="9" width="17.5" customWidth="1"/>
    <col min="10" max="11" width="17.83203125" customWidth="1"/>
    <col min="12" max="13" width="17.5" customWidth="1"/>
    <col min="14" max="14" width="17.83203125" customWidth="1"/>
    <col min="15" max="16" width="17.5" customWidth="1"/>
    <col min="17" max="17" width="17.83203125" customWidth="1"/>
    <col min="18" max="19" width="17.5" customWidth="1"/>
    <col min="20" max="20" width="17.83203125" customWidth="1"/>
    <col min="21" max="21" width="18.83203125" customWidth="1"/>
  </cols>
  <sheetData>
    <row r="1" spans="1:21" ht="22.5" customHeight="1">
      <c r="S1" s="175" t="s">
        <v>274</v>
      </c>
      <c r="T1" s="175"/>
      <c r="U1" s="175"/>
    </row>
    <row r="2" spans="1:21" s="118" customFormat="1" ht="21.95" customHeight="1">
      <c r="A2" s="171" t="s">
        <v>241</v>
      </c>
      <c r="B2" s="171"/>
      <c r="C2" s="171"/>
      <c r="D2" s="171"/>
      <c r="E2" s="171"/>
      <c r="F2" s="171"/>
      <c r="G2" s="171"/>
      <c r="H2" s="171"/>
      <c r="I2" s="171"/>
      <c r="J2" s="171"/>
      <c r="K2" s="171"/>
      <c r="L2" s="171"/>
      <c r="M2" s="171"/>
      <c r="N2" s="171"/>
      <c r="O2" s="171"/>
      <c r="P2" s="171"/>
      <c r="Q2" s="171"/>
      <c r="R2" s="171"/>
      <c r="S2" s="171"/>
      <c r="T2" s="171"/>
      <c r="U2" s="171"/>
    </row>
    <row r="3" spans="1:21" s="118" customFormat="1" ht="21.95" customHeight="1">
      <c r="A3" s="171" t="str">
        <f>+'2. (Mat)'!A3:AA3</f>
        <v>Từ đoạn Km…+… - Km…+… Đường …</v>
      </c>
      <c r="B3" s="171"/>
      <c r="C3" s="171"/>
      <c r="D3" s="171"/>
      <c r="E3" s="171"/>
      <c r="F3" s="171"/>
      <c r="G3" s="171"/>
      <c r="H3" s="171"/>
      <c r="I3" s="171"/>
      <c r="J3" s="171"/>
      <c r="K3" s="171"/>
      <c r="L3" s="171"/>
      <c r="M3" s="171"/>
      <c r="N3" s="171"/>
      <c r="O3" s="171"/>
      <c r="P3" s="171"/>
      <c r="Q3" s="171"/>
      <c r="R3" s="171"/>
      <c r="S3" s="171"/>
      <c r="T3" s="171"/>
      <c r="U3" s="171"/>
    </row>
    <row r="4" spans="1:21" s="118" customFormat="1" ht="21.95" customHeight="1">
      <c r="A4" s="192" t="str">
        <f>+'2. (Mat)'!A4:AA4</f>
        <v>Tính đến ngày 31 tháng 12 năm 2023</v>
      </c>
      <c r="B4" s="192"/>
      <c r="C4" s="192"/>
      <c r="D4" s="192"/>
      <c r="E4" s="192"/>
      <c r="F4" s="192"/>
      <c r="G4" s="192"/>
      <c r="H4" s="192"/>
      <c r="I4" s="192"/>
      <c r="J4" s="192"/>
      <c r="K4" s="192"/>
      <c r="L4" s="192"/>
      <c r="M4" s="192"/>
      <c r="N4" s="192"/>
      <c r="O4" s="192"/>
      <c r="P4" s="192"/>
      <c r="Q4" s="192"/>
      <c r="R4" s="192"/>
      <c r="S4" s="192"/>
      <c r="T4" s="192"/>
      <c r="U4" s="192"/>
    </row>
    <row r="5" spans="1:21" s="1" customFormat="1" ht="22.5" customHeight="1">
      <c r="A5" s="174" t="s">
        <v>0</v>
      </c>
      <c r="B5" s="174" t="s">
        <v>2</v>
      </c>
      <c r="C5" s="174"/>
      <c r="D5" s="195" t="s">
        <v>126</v>
      </c>
      <c r="E5" s="196"/>
      <c r="F5" s="196"/>
      <c r="G5" s="196"/>
      <c r="H5" s="196"/>
      <c r="I5" s="196"/>
      <c r="J5" s="196"/>
      <c r="K5" s="196"/>
      <c r="L5" s="196"/>
      <c r="M5" s="196"/>
      <c r="N5" s="196"/>
      <c r="O5" s="196"/>
      <c r="P5" s="196"/>
      <c r="Q5" s="196"/>
      <c r="R5" s="196"/>
      <c r="S5" s="196"/>
      <c r="T5" s="197"/>
      <c r="U5" s="182" t="s">
        <v>3</v>
      </c>
    </row>
    <row r="6" spans="1:21" s="1" customFormat="1" ht="18.75" customHeight="1">
      <c r="A6" s="174"/>
      <c r="B6" s="174" t="s">
        <v>30</v>
      </c>
      <c r="C6" s="174" t="s">
        <v>6</v>
      </c>
      <c r="D6" s="174" t="s">
        <v>119</v>
      </c>
      <c r="E6" s="174"/>
      <c r="F6" s="174"/>
      <c r="G6" s="182" t="s">
        <v>121</v>
      </c>
      <c r="H6" s="174" t="s">
        <v>122</v>
      </c>
      <c r="I6" s="174"/>
      <c r="J6" s="174"/>
      <c r="K6" s="182" t="s">
        <v>121</v>
      </c>
      <c r="L6" s="174" t="s">
        <v>123</v>
      </c>
      <c r="M6" s="174"/>
      <c r="N6" s="174"/>
      <c r="O6" s="174" t="s">
        <v>124</v>
      </c>
      <c r="P6" s="174"/>
      <c r="Q6" s="174"/>
      <c r="R6" s="174" t="s">
        <v>125</v>
      </c>
      <c r="S6" s="174"/>
      <c r="T6" s="174"/>
      <c r="U6" s="182"/>
    </row>
    <row r="7" spans="1:21" s="1" customFormat="1" ht="15.75">
      <c r="A7" s="174"/>
      <c r="B7" s="174"/>
      <c r="C7" s="174"/>
      <c r="D7" s="4" t="s">
        <v>28</v>
      </c>
      <c r="E7" s="4" t="s">
        <v>29</v>
      </c>
      <c r="F7" s="4" t="s">
        <v>120</v>
      </c>
      <c r="G7" s="182"/>
      <c r="H7" s="4" t="s">
        <v>28</v>
      </c>
      <c r="I7" s="4" t="s">
        <v>29</v>
      </c>
      <c r="J7" s="4" t="s">
        <v>120</v>
      </c>
      <c r="K7" s="182"/>
      <c r="L7" s="4" t="s">
        <v>28</v>
      </c>
      <c r="M7" s="4" t="s">
        <v>29</v>
      </c>
      <c r="N7" s="4" t="s">
        <v>120</v>
      </c>
      <c r="O7" s="4" t="s">
        <v>28</v>
      </c>
      <c r="P7" s="4" t="s">
        <v>29</v>
      </c>
      <c r="Q7" s="4" t="s">
        <v>120</v>
      </c>
      <c r="R7" s="4" t="s">
        <v>28</v>
      </c>
      <c r="S7" s="4" t="s">
        <v>29</v>
      </c>
      <c r="T7" s="4" t="s">
        <v>120</v>
      </c>
      <c r="U7" s="182"/>
    </row>
    <row r="8" spans="1:21" s="13" customFormat="1" ht="20.25" customHeight="1">
      <c r="A8" s="10" t="s">
        <v>11</v>
      </c>
      <c r="B8" s="193" t="s">
        <v>230</v>
      </c>
      <c r="C8" s="194"/>
      <c r="D8" s="16">
        <f>+D9+D12</f>
        <v>0</v>
      </c>
      <c r="E8" s="16">
        <f t="shared" ref="E8:M8" si="0">+E9+E12</f>
        <v>0</v>
      </c>
      <c r="F8" s="16">
        <f t="shared" si="0"/>
        <v>0</v>
      </c>
      <c r="G8" s="16">
        <f t="shared" si="0"/>
        <v>0</v>
      </c>
      <c r="H8" s="16">
        <f t="shared" si="0"/>
        <v>0</v>
      </c>
      <c r="I8" s="16">
        <f t="shared" si="0"/>
        <v>0</v>
      </c>
      <c r="J8" s="16">
        <f t="shared" si="0"/>
        <v>0</v>
      </c>
      <c r="K8" s="16">
        <f t="shared" si="0"/>
        <v>0</v>
      </c>
      <c r="L8" s="16">
        <f t="shared" si="0"/>
        <v>0</v>
      </c>
      <c r="M8" s="16">
        <f t="shared" si="0"/>
        <v>0</v>
      </c>
      <c r="N8" s="10"/>
      <c r="O8" s="10"/>
      <c r="P8" s="10"/>
      <c r="Q8" s="10"/>
      <c r="R8" s="10"/>
      <c r="S8" s="10"/>
      <c r="T8" s="10"/>
      <c r="U8" s="10"/>
    </row>
    <row r="9" spans="1:21" s="13" customFormat="1" ht="20.25" customHeight="1">
      <c r="A9" s="10"/>
      <c r="B9" s="12"/>
      <c r="C9" s="12"/>
      <c r="D9" s="15"/>
      <c r="E9" s="15"/>
      <c r="F9" s="15"/>
      <c r="G9" s="15"/>
      <c r="H9" s="15"/>
      <c r="I9" s="15"/>
      <c r="J9" s="15"/>
      <c r="K9" s="15"/>
      <c r="L9" s="15"/>
      <c r="M9" s="15"/>
      <c r="N9" s="10"/>
      <c r="O9" s="10"/>
      <c r="P9" s="10"/>
      <c r="Q9" s="10"/>
      <c r="R9" s="10"/>
      <c r="S9" s="10"/>
      <c r="T9" s="10"/>
      <c r="U9" s="10"/>
    </row>
    <row r="10" spans="1:21" s="1" customFormat="1" ht="20.25" customHeight="1">
      <c r="A10" s="6"/>
      <c r="B10" s="11"/>
      <c r="C10" s="11"/>
      <c r="D10" s="6"/>
      <c r="E10" s="6"/>
      <c r="F10" s="6"/>
      <c r="G10" s="6"/>
      <c r="H10" s="6"/>
      <c r="I10" s="6"/>
      <c r="J10" s="6"/>
      <c r="K10" s="6"/>
      <c r="L10" s="6"/>
      <c r="M10" s="6"/>
      <c r="N10" s="6"/>
      <c r="O10" s="6"/>
      <c r="P10" s="6"/>
      <c r="Q10" s="6"/>
      <c r="R10" s="6"/>
      <c r="S10" s="6"/>
      <c r="T10" s="6"/>
      <c r="U10" s="6"/>
    </row>
    <row r="11" spans="1:21" s="1" customFormat="1" ht="20.25" customHeight="1">
      <c r="A11" s="6"/>
      <c r="B11" s="11"/>
      <c r="C11" s="11"/>
      <c r="D11" s="6"/>
      <c r="E11" s="6"/>
      <c r="F11" s="6"/>
      <c r="G11" s="6"/>
      <c r="H11" s="6"/>
      <c r="I11" s="6"/>
      <c r="J11" s="6"/>
      <c r="K11" s="6"/>
      <c r="L11" s="6"/>
      <c r="M11" s="6"/>
      <c r="N11" s="6"/>
      <c r="O11" s="6"/>
      <c r="P11" s="6"/>
      <c r="Q11" s="6"/>
      <c r="R11" s="6"/>
      <c r="S11" s="6"/>
      <c r="T11" s="6"/>
      <c r="U11" s="6"/>
    </row>
    <row r="12" spans="1:21" s="13" customFormat="1" ht="20.25" customHeight="1">
      <c r="A12" s="10"/>
      <c r="B12" s="12"/>
      <c r="C12" s="12"/>
      <c r="D12" s="10"/>
      <c r="E12" s="10"/>
      <c r="F12" s="10"/>
      <c r="G12" s="10"/>
      <c r="H12" s="10"/>
      <c r="I12" s="10"/>
      <c r="J12" s="10"/>
      <c r="K12" s="10"/>
      <c r="L12" s="10"/>
      <c r="M12" s="10"/>
      <c r="N12" s="10"/>
      <c r="O12" s="10"/>
      <c r="P12" s="10"/>
      <c r="Q12" s="10"/>
      <c r="R12" s="10"/>
      <c r="S12" s="10"/>
      <c r="T12" s="10"/>
      <c r="U12" s="10"/>
    </row>
    <row r="13" spans="1:21" s="1" customFormat="1" ht="20.25" customHeight="1">
      <c r="A13" s="6"/>
      <c r="B13" s="11"/>
      <c r="C13" s="11"/>
      <c r="D13" s="6"/>
      <c r="E13" s="6"/>
      <c r="F13" s="6"/>
      <c r="G13" s="6"/>
      <c r="H13" s="6"/>
      <c r="I13" s="6"/>
      <c r="J13" s="6"/>
      <c r="K13" s="6"/>
      <c r="L13" s="6"/>
      <c r="M13" s="6"/>
      <c r="N13" s="6"/>
      <c r="O13" s="6"/>
      <c r="P13" s="6"/>
      <c r="Q13" s="6"/>
      <c r="R13" s="6"/>
      <c r="S13" s="6"/>
      <c r="T13" s="6"/>
      <c r="U13" s="6"/>
    </row>
    <row r="14" spans="1:21" s="1" customFormat="1" ht="20.25" customHeight="1">
      <c r="A14" s="6"/>
      <c r="B14" s="11"/>
      <c r="C14" s="11"/>
      <c r="D14" s="6"/>
      <c r="E14" s="6"/>
      <c r="F14" s="6"/>
      <c r="G14" s="6"/>
      <c r="H14" s="6"/>
      <c r="I14" s="6"/>
      <c r="J14" s="6"/>
      <c r="K14" s="6"/>
      <c r="L14" s="6"/>
      <c r="M14" s="6"/>
      <c r="N14" s="6"/>
      <c r="O14" s="6"/>
      <c r="P14" s="6"/>
      <c r="Q14" s="6"/>
      <c r="R14" s="6"/>
      <c r="S14" s="6"/>
      <c r="T14" s="6"/>
      <c r="U14" s="6"/>
    </row>
    <row r="15" spans="1:21" s="1" customFormat="1" ht="20.25" customHeight="1">
      <c r="A15" s="10" t="s">
        <v>42</v>
      </c>
      <c r="B15" s="104" t="s">
        <v>248</v>
      </c>
      <c r="C15" s="106"/>
      <c r="D15" s="6"/>
      <c r="E15" s="6"/>
      <c r="F15" s="6"/>
      <c r="G15" s="6"/>
      <c r="H15" s="6"/>
      <c r="I15" s="6"/>
      <c r="J15" s="6"/>
      <c r="K15" s="6"/>
      <c r="L15" s="6"/>
      <c r="M15" s="6"/>
      <c r="N15" s="6"/>
      <c r="O15" s="6"/>
      <c r="P15" s="6"/>
      <c r="Q15" s="6"/>
      <c r="R15" s="6"/>
      <c r="S15" s="6"/>
      <c r="T15" s="6"/>
      <c r="U15" s="6"/>
    </row>
    <row r="16" spans="1:21" s="1" customFormat="1" ht="20.25" customHeight="1">
      <c r="A16" s="6"/>
      <c r="B16" s="11"/>
      <c r="C16" s="103"/>
      <c r="D16" s="6"/>
      <c r="E16" s="6"/>
      <c r="F16" s="6"/>
      <c r="G16" s="6"/>
      <c r="H16" s="6"/>
      <c r="I16" s="6"/>
      <c r="J16" s="6"/>
      <c r="K16" s="6"/>
      <c r="L16" s="6"/>
      <c r="M16" s="6"/>
      <c r="N16" s="6"/>
      <c r="O16" s="6"/>
      <c r="P16" s="6"/>
      <c r="Q16" s="6"/>
      <c r="R16" s="6"/>
      <c r="S16" s="6"/>
      <c r="T16" s="6"/>
      <c r="U16" s="6"/>
    </row>
    <row r="17" spans="1:21" s="1" customFormat="1" ht="20.25" customHeight="1">
      <c r="A17" s="6"/>
      <c r="B17" s="11"/>
      <c r="C17" s="103"/>
      <c r="D17" s="6"/>
      <c r="E17" s="6"/>
      <c r="F17" s="6"/>
      <c r="G17" s="6"/>
      <c r="H17" s="6"/>
      <c r="I17" s="6"/>
      <c r="J17" s="6"/>
      <c r="K17" s="6"/>
      <c r="L17" s="6"/>
      <c r="M17" s="6"/>
      <c r="N17" s="6"/>
      <c r="O17" s="6"/>
      <c r="P17" s="6"/>
      <c r="Q17" s="6"/>
      <c r="R17" s="6"/>
      <c r="S17" s="6"/>
      <c r="T17" s="6"/>
      <c r="U17" s="6"/>
    </row>
    <row r="18" spans="1:21" s="1" customFormat="1" ht="20.25" customHeight="1">
      <c r="A18" s="6"/>
      <c r="B18" s="11"/>
      <c r="C18" s="103"/>
      <c r="D18" s="6"/>
      <c r="E18" s="6"/>
      <c r="F18" s="6"/>
      <c r="G18" s="6"/>
      <c r="H18" s="6"/>
      <c r="I18" s="6"/>
      <c r="J18" s="6"/>
      <c r="K18" s="6"/>
      <c r="L18" s="6"/>
      <c r="M18" s="6"/>
      <c r="N18" s="6"/>
      <c r="O18" s="6"/>
      <c r="P18" s="6"/>
      <c r="Q18" s="6"/>
      <c r="R18" s="6"/>
      <c r="S18" s="6"/>
      <c r="T18" s="6"/>
      <c r="U18" s="6"/>
    </row>
    <row r="19" spans="1:21" s="1" customFormat="1" ht="20.25" customHeight="1">
      <c r="A19" s="10" t="s">
        <v>8</v>
      </c>
      <c r="B19" s="187" t="s">
        <v>31</v>
      </c>
      <c r="C19" s="189"/>
      <c r="D19" s="6"/>
      <c r="E19" s="6"/>
      <c r="F19" s="6"/>
      <c r="G19" s="6"/>
      <c r="H19" s="6"/>
      <c r="I19" s="6"/>
      <c r="J19" s="6"/>
      <c r="K19" s="6"/>
      <c r="L19" s="6"/>
      <c r="M19" s="6"/>
      <c r="N19" s="6"/>
      <c r="O19" s="6"/>
      <c r="P19" s="6"/>
      <c r="Q19" s="6"/>
      <c r="R19" s="6"/>
      <c r="S19" s="6"/>
      <c r="T19" s="6"/>
      <c r="U19" s="6"/>
    </row>
    <row r="21" spans="1:21" ht="16.5">
      <c r="T21" s="185" t="s">
        <v>171</v>
      </c>
      <c r="U21" s="185"/>
    </row>
  </sheetData>
  <mergeCells count="20">
    <mergeCell ref="S1:U1"/>
    <mergeCell ref="A2:U2"/>
    <mergeCell ref="A3:U3"/>
    <mergeCell ref="A4:U4"/>
    <mergeCell ref="A5:A7"/>
    <mergeCell ref="T21:U21"/>
    <mergeCell ref="B19:C19"/>
    <mergeCell ref="B8:C8"/>
    <mergeCell ref="U5:U7"/>
    <mergeCell ref="B6:B7"/>
    <mergeCell ref="C6:C7"/>
    <mergeCell ref="G6:G7"/>
    <mergeCell ref="D5:T5"/>
    <mergeCell ref="O6:Q6"/>
    <mergeCell ref="B5:C5"/>
    <mergeCell ref="D6:F6"/>
    <mergeCell ref="H6:J6"/>
    <mergeCell ref="K6:K7"/>
    <mergeCell ref="L6:N6"/>
    <mergeCell ref="R6:T6"/>
  </mergeCells>
  <phoneticPr fontId="0" type="noConversion"/>
  <pageMargins left="0.74803149606299213" right="0.74803149606299213" top="0.66" bottom="0.87" header="0.51181102362204722" footer="0.51181102362204722"/>
  <pageSetup paperSize="9" scale="43"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L20"/>
  <sheetViews>
    <sheetView view="pageBreakPreview" zoomScale="85" zoomScaleNormal="100" zoomScaleSheetLayoutView="85" workbookViewId="0">
      <selection sqref="A1:I1"/>
    </sheetView>
  </sheetViews>
  <sheetFormatPr defaultRowHeight="12.75"/>
  <cols>
    <col min="1" max="1" width="6.5" customWidth="1"/>
    <col min="2" max="3" width="11.83203125" customWidth="1"/>
    <col min="4" max="7" width="17.83203125" customWidth="1"/>
    <col min="8" max="10" width="17.5" customWidth="1"/>
    <col min="11" max="11" width="17.83203125" customWidth="1"/>
    <col min="12" max="12" width="18.83203125" customWidth="1"/>
  </cols>
  <sheetData>
    <row r="1" spans="1:12" ht="21.75" customHeight="1">
      <c r="J1" s="175" t="s">
        <v>275</v>
      </c>
      <c r="K1" s="175"/>
      <c r="L1" s="175"/>
    </row>
    <row r="2" spans="1:12" ht="16.5">
      <c r="A2" s="185" t="s">
        <v>250</v>
      </c>
      <c r="B2" s="185"/>
      <c r="C2" s="185"/>
      <c r="D2" s="185"/>
      <c r="E2" s="185"/>
      <c r="F2" s="185"/>
      <c r="G2" s="185"/>
      <c r="H2" s="185"/>
      <c r="I2" s="185"/>
      <c r="J2" s="185"/>
      <c r="K2" s="185"/>
      <c r="L2" s="185"/>
    </row>
    <row r="3" spans="1:12" ht="16.5">
      <c r="A3" s="185" t="str">
        <f>+'2. (Mat)'!A3:AA3</f>
        <v>Từ đoạn Km…+… - Km…+… Đường …</v>
      </c>
      <c r="B3" s="185"/>
      <c r="C3" s="185"/>
      <c r="D3" s="185"/>
      <c r="E3" s="185"/>
      <c r="F3" s="185"/>
      <c r="G3" s="185"/>
      <c r="H3" s="185"/>
      <c r="I3" s="185"/>
      <c r="J3" s="185"/>
      <c r="K3" s="185"/>
      <c r="L3" s="185"/>
    </row>
    <row r="4" spans="1:12" ht="16.5">
      <c r="A4" s="186" t="str">
        <f>+'2. (Mat)'!A4:AA4</f>
        <v>Tính đến ngày 31 tháng 12 năm 2023</v>
      </c>
      <c r="B4" s="186"/>
      <c r="C4" s="186"/>
      <c r="D4" s="186"/>
      <c r="E4" s="186"/>
      <c r="F4" s="186"/>
      <c r="G4" s="186"/>
      <c r="H4" s="186"/>
      <c r="I4" s="186"/>
      <c r="J4" s="186"/>
      <c r="K4" s="186"/>
      <c r="L4" s="186"/>
    </row>
    <row r="5" spans="1:12" s="1" customFormat="1" ht="17.25" customHeight="1">
      <c r="A5" s="174" t="s">
        <v>93</v>
      </c>
      <c r="B5" s="174" t="s">
        <v>2</v>
      </c>
      <c r="C5" s="174"/>
      <c r="D5" s="174" t="s">
        <v>128</v>
      </c>
      <c r="E5" s="174"/>
      <c r="F5" s="174"/>
      <c r="G5" s="174"/>
      <c r="H5" s="182" t="s">
        <v>127</v>
      </c>
      <c r="I5" s="182"/>
      <c r="J5" s="182"/>
      <c r="K5" s="182"/>
      <c r="L5" s="182" t="s">
        <v>3</v>
      </c>
    </row>
    <row r="6" spans="1:12" s="1" customFormat="1" ht="39" customHeight="1">
      <c r="A6" s="174"/>
      <c r="B6" s="4" t="s">
        <v>30</v>
      </c>
      <c r="C6" s="4" t="s">
        <v>6</v>
      </c>
      <c r="D6" s="4" t="s">
        <v>28</v>
      </c>
      <c r="E6" s="4" t="s">
        <v>29</v>
      </c>
      <c r="F6" s="4" t="s">
        <v>31</v>
      </c>
      <c r="G6" s="4" t="s">
        <v>112</v>
      </c>
      <c r="H6" s="4" t="s">
        <v>28</v>
      </c>
      <c r="I6" s="4" t="s">
        <v>29</v>
      </c>
      <c r="J6" s="4" t="s">
        <v>31</v>
      </c>
      <c r="K6" s="3" t="s">
        <v>112</v>
      </c>
      <c r="L6" s="182"/>
    </row>
    <row r="7" spans="1:12" s="13" customFormat="1" ht="20.25" customHeight="1">
      <c r="A7" s="10" t="s">
        <v>11</v>
      </c>
      <c r="B7" s="198" t="s">
        <v>230</v>
      </c>
      <c r="C7" s="199"/>
      <c r="D7" s="10"/>
      <c r="E7" s="10"/>
      <c r="F7" s="10"/>
      <c r="G7" s="14"/>
      <c r="H7" s="10"/>
      <c r="I7" s="10"/>
      <c r="J7" s="10"/>
      <c r="K7" s="14"/>
      <c r="L7" s="10"/>
    </row>
    <row r="8" spans="1:12" s="1" customFormat="1" ht="20.25" customHeight="1">
      <c r="A8" s="6"/>
      <c r="B8" s="11"/>
      <c r="C8" s="11"/>
      <c r="D8" s="6"/>
      <c r="E8" s="6"/>
      <c r="F8" s="6"/>
      <c r="G8" s="6"/>
      <c r="H8" s="6"/>
      <c r="I8" s="6"/>
      <c r="J8" s="6"/>
      <c r="K8" s="6"/>
      <c r="L8" s="6"/>
    </row>
    <row r="9" spans="1:12" s="1" customFormat="1" ht="20.25" customHeight="1">
      <c r="A9" s="6"/>
      <c r="B9" s="11"/>
      <c r="C9" s="11"/>
      <c r="D9" s="6"/>
      <c r="E9" s="6"/>
      <c r="F9" s="6"/>
      <c r="G9" s="6"/>
      <c r="H9" s="6"/>
      <c r="I9" s="6"/>
      <c r="J9" s="6"/>
      <c r="K9" s="6"/>
      <c r="L9" s="6"/>
    </row>
    <row r="10" spans="1:12" s="1" customFormat="1" ht="20.25" customHeight="1">
      <c r="A10" s="6"/>
      <c r="B10" s="11"/>
      <c r="C10" s="11"/>
      <c r="D10" s="6"/>
      <c r="E10" s="6"/>
      <c r="F10" s="6"/>
      <c r="G10" s="6"/>
      <c r="H10" s="6"/>
      <c r="I10" s="6"/>
      <c r="J10" s="6"/>
      <c r="K10" s="6"/>
      <c r="L10" s="6"/>
    </row>
    <row r="11" spans="1:12" s="1" customFormat="1" ht="20.25" customHeight="1">
      <c r="A11" s="6"/>
      <c r="B11" s="11"/>
      <c r="C11" s="11"/>
      <c r="D11" s="6"/>
      <c r="E11" s="6"/>
      <c r="F11" s="6"/>
      <c r="G11" s="6"/>
      <c r="H11" s="6"/>
      <c r="I11" s="6"/>
      <c r="J11" s="6"/>
      <c r="K11" s="6"/>
      <c r="L11" s="6"/>
    </row>
    <row r="12" spans="1:12" s="1" customFormat="1" ht="20.25" customHeight="1">
      <c r="A12" s="10" t="s">
        <v>42</v>
      </c>
      <c r="B12" s="104" t="s">
        <v>248</v>
      </c>
      <c r="C12" s="106"/>
      <c r="D12" s="6"/>
      <c r="E12" s="6"/>
      <c r="F12" s="6"/>
      <c r="G12" s="6"/>
      <c r="H12" s="6"/>
      <c r="I12" s="6"/>
      <c r="J12" s="6"/>
      <c r="K12" s="6"/>
      <c r="L12" s="6"/>
    </row>
    <row r="13" spans="1:12" s="1" customFormat="1" ht="20.25" customHeight="1">
      <c r="A13" s="6"/>
      <c r="B13" s="11"/>
      <c r="C13" s="103"/>
      <c r="D13" s="6"/>
      <c r="E13" s="6"/>
      <c r="F13" s="6"/>
      <c r="G13" s="6"/>
      <c r="H13" s="6"/>
      <c r="I13" s="6"/>
      <c r="J13" s="6"/>
      <c r="K13" s="6"/>
      <c r="L13" s="6"/>
    </row>
    <row r="14" spans="1:12" s="1" customFormat="1" ht="20.25" customHeight="1">
      <c r="A14" s="6"/>
      <c r="B14" s="11"/>
      <c r="C14" s="103"/>
      <c r="D14" s="6"/>
      <c r="E14" s="6"/>
      <c r="F14" s="6"/>
      <c r="G14" s="6"/>
      <c r="H14" s="6"/>
      <c r="I14" s="6"/>
      <c r="J14" s="6"/>
      <c r="K14" s="6"/>
      <c r="L14" s="6"/>
    </row>
    <row r="15" spans="1:12" s="1" customFormat="1" ht="20.25" customHeight="1">
      <c r="A15" s="6"/>
      <c r="B15" s="11"/>
      <c r="C15" s="103"/>
      <c r="D15" s="6"/>
      <c r="E15" s="6"/>
      <c r="F15" s="6"/>
      <c r="G15" s="6"/>
      <c r="H15" s="6"/>
      <c r="I15" s="6"/>
      <c r="J15" s="6"/>
      <c r="K15" s="6"/>
      <c r="L15" s="6"/>
    </row>
    <row r="16" spans="1:12" s="1" customFormat="1" ht="20.25" customHeight="1">
      <c r="A16" s="10" t="s">
        <v>8</v>
      </c>
      <c r="B16" s="187" t="s">
        <v>31</v>
      </c>
      <c r="C16" s="189"/>
      <c r="D16" s="6"/>
      <c r="E16" s="6"/>
      <c r="F16" s="6"/>
      <c r="G16" s="6"/>
      <c r="H16" s="6"/>
      <c r="I16" s="6"/>
      <c r="J16" s="6"/>
      <c r="K16" s="6"/>
      <c r="L16" s="6"/>
    </row>
    <row r="17" spans="1:12" s="1" customFormat="1" ht="20.25" customHeight="1">
      <c r="A17" s="6"/>
      <c r="B17" s="11"/>
      <c r="C17" s="11"/>
      <c r="D17" s="6"/>
      <c r="E17" s="6"/>
      <c r="F17" s="6"/>
      <c r="G17" s="6"/>
      <c r="H17" s="6"/>
      <c r="I17" s="6"/>
      <c r="J17" s="6"/>
      <c r="K17" s="6"/>
      <c r="L17" s="6"/>
    </row>
    <row r="18" spans="1:12" s="1" customFormat="1" ht="20.25" customHeight="1">
      <c r="A18" s="6"/>
      <c r="B18" s="11"/>
      <c r="C18" s="11"/>
      <c r="D18" s="6"/>
      <c r="E18" s="6"/>
      <c r="F18" s="6"/>
      <c r="G18" s="6"/>
      <c r="H18" s="6"/>
      <c r="I18" s="6"/>
      <c r="J18" s="6"/>
      <c r="K18" s="6"/>
      <c r="L18" s="6"/>
    </row>
    <row r="20" spans="1:12" ht="16.5">
      <c r="K20" s="185" t="s">
        <v>171</v>
      </c>
      <c r="L20" s="185"/>
    </row>
  </sheetData>
  <mergeCells count="12">
    <mergeCell ref="J1:L1"/>
    <mergeCell ref="K20:L20"/>
    <mergeCell ref="B16:C16"/>
    <mergeCell ref="B7:C7"/>
    <mergeCell ref="L5:L6"/>
    <mergeCell ref="A2:L2"/>
    <mergeCell ref="A3:L3"/>
    <mergeCell ref="A4:L4"/>
    <mergeCell ref="D5:G5"/>
    <mergeCell ref="H5:K5"/>
    <mergeCell ref="A5:A6"/>
    <mergeCell ref="B5:C5"/>
  </mergeCells>
  <phoneticPr fontId="0" type="noConversion"/>
  <pageMargins left="0.74803149606299213" right="0.74803149606299213" top="0.98425196850393704" bottom="0.98425196850393704" header="0.51181102362204722" footer="0.51181102362204722"/>
  <pageSetup paperSize="9" scale="76"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U22"/>
  <sheetViews>
    <sheetView view="pageBreakPreview" zoomScale="85" zoomScaleNormal="70" zoomScaleSheetLayoutView="85" workbookViewId="0">
      <selection activeCell="L21" sqref="L21"/>
    </sheetView>
  </sheetViews>
  <sheetFormatPr defaultRowHeight="12.75"/>
  <cols>
    <col min="1" max="1" width="6.5" style="134" customWidth="1"/>
    <col min="2" max="2" width="14.5" style="134" customWidth="1"/>
    <col min="3" max="3" width="13.5" style="134" customWidth="1"/>
    <col min="4" max="4" width="12.83203125" style="134" bestFit="1" customWidth="1"/>
    <col min="5" max="5" width="11.1640625" style="134" customWidth="1"/>
    <col min="6" max="6" width="13.33203125" style="134" customWidth="1"/>
    <col min="7" max="7" width="9.5" style="134" bestFit="1" customWidth="1"/>
    <col min="8" max="8" width="11.5" style="134" bestFit="1" customWidth="1"/>
    <col min="9" max="9" width="17.83203125" style="134" customWidth="1"/>
    <col min="10" max="10" width="17.5" style="134" customWidth="1"/>
    <col min="11" max="11" width="9.5" style="134" bestFit="1" customWidth="1"/>
    <col min="12" max="12" width="10" style="134" bestFit="1" customWidth="1"/>
    <col min="13" max="13" width="14" style="134" customWidth="1"/>
    <col min="14" max="14" width="12.83203125" style="134" customWidth="1"/>
    <col min="15" max="15" width="10" style="134" bestFit="1" customWidth="1"/>
    <col min="16" max="16" width="12.5" style="134" customWidth="1"/>
    <col min="17" max="17" width="13.1640625" style="134" customWidth="1"/>
    <col min="18" max="18" width="10" style="134" bestFit="1" customWidth="1"/>
    <col min="19" max="19" width="16" style="134" customWidth="1"/>
    <col min="20" max="20" width="15.33203125" style="134" customWidth="1"/>
    <col min="21" max="21" width="18.83203125" style="134" customWidth="1"/>
    <col min="22" max="16384" width="9.33203125" style="134"/>
  </cols>
  <sheetData>
    <row r="1" spans="1:21" ht="18.75" customHeight="1">
      <c r="S1" s="200" t="s">
        <v>276</v>
      </c>
      <c r="T1" s="200"/>
      <c r="U1" s="200"/>
    </row>
    <row r="2" spans="1:21" s="119" customFormat="1" ht="21.95" customHeight="1">
      <c r="A2" s="202" t="s">
        <v>242</v>
      </c>
      <c r="B2" s="202"/>
      <c r="C2" s="202"/>
      <c r="D2" s="202"/>
      <c r="E2" s="202"/>
      <c r="F2" s="202"/>
      <c r="G2" s="202"/>
      <c r="H2" s="202"/>
      <c r="I2" s="202"/>
      <c r="J2" s="202"/>
      <c r="K2" s="202"/>
      <c r="L2" s="202"/>
      <c r="M2" s="202"/>
      <c r="N2" s="202"/>
      <c r="O2" s="202"/>
      <c r="P2" s="202"/>
      <c r="Q2" s="202"/>
      <c r="R2" s="202"/>
      <c r="S2" s="202"/>
      <c r="T2" s="202"/>
      <c r="U2" s="202"/>
    </row>
    <row r="3" spans="1:21" s="119" customFormat="1" ht="21.95" customHeight="1">
      <c r="A3" s="202" t="str">
        <f>+'2. (Mat)'!A3:AA3</f>
        <v>Từ đoạn Km…+… - Km…+… Đường …</v>
      </c>
      <c r="B3" s="202"/>
      <c r="C3" s="202"/>
      <c r="D3" s="202"/>
      <c r="E3" s="202"/>
      <c r="F3" s="202"/>
      <c r="G3" s="202"/>
      <c r="H3" s="202"/>
      <c r="I3" s="202"/>
      <c r="J3" s="202"/>
      <c r="K3" s="202"/>
      <c r="L3" s="202"/>
      <c r="M3" s="202"/>
      <c r="N3" s="202"/>
      <c r="O3" s="202"/>
      <c r="P3" s="202"/>
      <c r="Q3" s="202"/>
      <c r="R3" s="202"/>
      <c r="S3" s="202"/>
      <c r="T3" s="202"/>
      <c r="U3" s="202"/>
    </row>
    <row r="4" spans="1:21" s="119" customFormat="1" ht="21.95" customHeight="1">
      <c r="A4" s="203" t="str">
        <f>+'2. (Mat)'!A4:AA4</f>
        <v>Tính đến ngày 31 tháng 12 năm 2023</v>
      </c>
      <c r="B4" s="203"/>
      <c r="C4" s="203"/>
      <c r="D4" s="203"/>
      <c r="E4" s="203"/>
      <c r="F4" s="203"/>
      <c r="G4" s="203"/>
      <c r="H4" s="203"/>
      <c r="I4" s="203"/>
      <c r="J4" s="203"/>
      <c r="K4" s="203"/>
      <c r="L4" s="203"/>
      <c r="M4" s="203"/>
      <c r="N4" s="203"/>
      <c r="O4" s="203"/>
      <c r="P4" s="203"/>
      <c r="Q4" s="203"/>
      <c r="R4" s="203"/>
      <c r="S4" s="203"/>
      <c r="T4" s="203"/>
      <c r="U4" s="203"/>
    </row>
    <row r="5" spans="1:21" s="121" customFormat="1" ht="17.25" customHeight="1">
      <c r="A5" s="201" t="s">
        <v>0</v>
      </c>
      <c r="B5" s="201" t="s">
        <v>2</v>
      </c>
      <c r="C5" s="201"/>
      <c r="D5" s="206" t="s">
        <v>251</v>
      </c>
      <c r="E5" s="201" t="s">
        <v>130</v>
      </c>
      <c r="F5" s="201"/>
      <c r="G5" s="201"/>
      <c r="H5" s="201"/>
      <c r="I5" s="201"/>
      <c r="J5" s="201"/>
      <c r="K5" s="201"/>
      <c r="L5" s="201"/>
      <c r="M5" s="201"/>
      <c r="N5" s="201"/>
      <c r="O5" s="201"/>
      <c r="P5" s="201"/>
      <c r="Q5" s="201"/>
      <c r="R5" s="201"/>
      <c r="S5" s="206" t="s">
        <v>140</v>
      </c>
      <c r="T5" s="206" t="s">
        <v>104</v>
      </c>
      <c r="U5" s="206" t="s">
        <v>3</v>
      </c>
    </row>
    <row r="6" spans="1:21" s="121" customFormat="1" ht="18.75" customHeight="1">
      <c r="A6" s="201"/>
      <c r="B6" s="201" t="s">
        <v>30</v>
      </c>
      <c r="C6" s="201" t="s">
        <v>6</v>
      </c>
      <c r="D6" s="206"/>
      <c r="E6" s="201" t="s">
        <v>131</v>
      </c>
      <c r="F6" s="201"/>
      <c r="G6" s="201" t="s">
        <v>134</v>
      </c>
      <c r="H6" s="201"/>
      <c r="I6" s="201"/>
      <c r="J6" s="201" t="s">
        <v>135</v>
      </c>
      <c r="K6" s="201"/>
      <c r="L6" s="201"/>
      <c r="M6" s="201" t="s">
        <v>138</v>
      </c>
      <c r="N6" s="201"/>
      <c r="O6" s="201"/>
      <c r="P6" s="201" t="s">
        <v>139</v>
      </c>
      <c r="Q6" s="201"/>
      <c r="R6" s="201"/>
      <c r="S6" s="206"/>
      <c r="T6" s="206"/>
      <c r="U6" s="206"/>
    </row>
    <row r="7" spans="1:21" s="121" customFormat="1" ht="15.75">
      <c r="A7" s="201"/>
      <c r="B7" s="201"/>
      <c r="C7" s="201"/>
      <c r="D7" s="206"/>
      <c r="E7" s="120" t="s">
        <v>132</v>
      </c>
      <c r="F7" s="120" t="s">
        <v>133</v>
      </c>
      <c r="G7" s="120" t="s">
        <v>132</v>
      </c>
      <c r="H7" s="120" t="s">
        <v>133</v>
      </c>
      <c r="I7" s="120" t="s">
        <v>136</v>
      </c>
      <c r="J7" s="120" t="s">
        <v>252</v>
      </c>
      <c r="K7" s="120" t="s">
        <v>132</v>
      </c>
      <c r="L7" s="120" t="s">
        <v>137</v>
      </c>
      <c r="M7" s="120" t="s">
        <v>132</v>
      </c>
      <c r="N7" s="120" t="s">
        <v>133</v>
      </c>
      <c r="O7" s="120" t="s">
        <v>137</v>
      </c>
      <c r="P7" s="120" t="s">
        <v>132</v>
      </c>
      <c r="Q7" s="120" t="s">
        <v>133</v>
      </c>
      <c r="R7" s="120" t="s">
        <v>137</v>
      </c>
      <c r="S7" s="206"/>
      <c r="T7" s="206"/>
      <c r="U7" s="206"/>
    </row>
    <row r="8" spans="1:21" s="124" customFormat="1" ht="15.75" customHeight="1">
      <c r="A8" s="122" t="s">
        <v>11</v>
      </c>
      <c r="B8" s="198" t="s">
        <v>230</v>
      </c>
      <c r="C8" s="199"/>
      <c r="D8" s="122"/>
      <c r="E8" s="123"/>
      <c r="F8" s="123"/>
      <c r="G8" s="122"/>
      <c r="H8" s="122"/>
      <c r="I8" s="122"/>
      <c r="J8" s="122"/>
      <c r="K8" s="122"/>
      <c r="L8" s="122"/>
      <c r="M8" s="122"/>
      <c r="N8" s="122"/>
      <c r="O8" s="122"/>
      <c r="P8" s="122"/>
      <c r="Q8" s="122"/>
      <c r="R8" s="122"/>
      <c r="S8" s="122"/>
      <c r="T8" s="122"/>
      <c r="U8" s="122"/>
    </row>
    <row r="9" spans="1:21" s="124" customFormat="1" ht="15.75" customHeight="1">
      <c r="A9" s="122"/>
      <c r="B9" s="125"/>
      <c r="C9" s="125"/>
      <c r="D9" s="122"/>
      <c r="E9" s="126"/>
      <c r="F9" s="122"/>
      <c r="G9" s="122"/>
      <c r="H9" s="122"/>
      <c r="I9" s="122"/>
      <c r="J9" s="122"/>
      <c r="K9" s="122"/>
      <c r="L9" s="122"/>
      <c r="M9" s="122"/>
      <c r="N9" s="122"/>
      <c r="O9" s="122"/>
      <c r="P9" s="122"/>
      <c r="Q9" s="122"/>
      <c r="R9" s="122"/>
      <c r="S9" s="122"/>
      <c r="T9" s="122"/>
      <c r="U9" s="122"/>
    </row>
    <row r="10" spans="1:21" s="121" customFormat="1" ht="15.75" customHeight="1">
      <c r="A10" s="127"/>
      <c r="B10" s="128"/>
      <c r="C10" s="128"/>
      <c r="D10" s="127"/>
      <c r="E10" s="129"/>
      <c r="F10" s="127"/>
      <c r="G10" s="127"/>
      <c r="H10" s="127"/>
      <c r="I10" s="127"/>
      <c r="J10" s="127"/>
      <c r="K10" s="127"/>
      <c r="L10" s="127"/>
      <c r="M10" s="127"/>
      <c r="N10" s="127"/>
      <c r="O10" s="127"/>
      <c r="P10" s="127"/>
      <c r="Q10" s="127"/>
      <c r="R10" s="127"/>
      <c r="S10" s="127"/>
      <c r="T10" s="127"/>
      <c r="U10" s="127"/>
    </row>
    <row r="11" spans="1:21" s="121" customFormat="1" ht="15.75" customHeight="1">
      <c r="A11" s="127"/>
      <c r="B11" s="128"/>
      <c r="C11" s="128"/>
      <c r="D11" s="127"/>
      <c r="E11" s="129"/>
      <c r="F11" s="127"/>
      <c r="G11" s="127"/>
      <c r="H11" s="127"/>
      <c r="I11" s="127"/>
      <c r="J11" s="127"/>
      <c r="K11" s="127"/>
      <c r="L11" s="127"/>
      <c r="M11" s="127"/>
      <c r="N11" s="127"/>
      <c r="O11" s="127"/>
      <c r="P11" s="127"/>
      <c r="Q11" s="127"/>
      <c r="R11" s="127"/>
      <c r="S11" s="127"/>
      <c r="T11" s="127"/>
      <c r="U11" s="127"/>
    </row>
    <row r="12" spans="1:21" s="121" customFormat="1" ht="15.75" customHeight="1">
      <c r="A12" s="127"/>
      <c r="B12" s="128"/>
      <c r="C12" s="128"/>
      <c r="D12" s="127"/>
      <c r="E12" s="129"/>
      <c r="F12" s="127"/>
      <c r="G12" s="127"/>
      <c r="H12" s="127"/>
      <c r="I12" s="127"/>
      <c r="J12" s="127"/>
      <c r="K12" s="127"/>
      <c r="L12" s="127"/>
      <c r="M12" s="127"/>
      <c r="N12" s="127"/>
      <c r="O12" s="127"/>
      <c r="P12" s="127"/>
      <c r="Q12" s="127"/>
      <c r="R12" s="127"/>
      <c r="S12" s="127"/>
      <c r="T12" s="127"/>
      <c r="U12" s="127"/>
    </row>
    <row r="13" spans="1:21" s="121" customFormat="1" ht="15.75" customHeight="1">
      <c r="A13" s="127"/>
      <c r="B13" s="128"/>
      <c r="C13" s="128"/>
      <c r="D13" s="127"/>
      <c r="E13" s="129"/>
      <c r="F13" s="127"/>
      <c r="G13" s="127"/>
      <c r="H13" s="127"/>
      <c r="I13" s="127"/>
      <c r="J13" s="127"/>
      <c r="K13" s="127"/>
      <c r="L13" s="127"/>
      <c r="M13" s="127"/>
      <c r="N13" s="127"/>
      <c r="O13" s="127"/>
      <c r="P13" s="127"/>
      <c r="Q13" s="127"/>
      <c r="R13" s="127"/>
      <c r="S13" s="127"/>
      <c r="T13" s="127"/>
      <c r="U13" s="127"/>
    </row>
    <row r="14" spans="1:21" s="121" customFormat="1" ht="15.75" customHeight="1">
      <c r="A14" s="127"/>
      <c r="B14" s="128"/>
      <c r="C14" s="128"/>
      <c r="D14" s="127"/>
      <c r="E14" s="129"/>
      <c r="F14" s="127"/>
      <c r="G14" s="127"/>
      <c r="H14" s="127"/>
      <c r="I14" s="127"/>
      <c r="J14" s="127"/>
      <c r="K14" s="127"/>
      <c r="L14" s="127"/>
      <c r="M14" s="127"/>
      <c r="N14" s="127"/>
      <c r="O14" s="127"/>
      <c r="P14" s="127"/>
      <c r="Q14" s="127"/>
      <c r="R14" s="127"/>
      <c r="S14" s="127"/>
      <c r="T14" s="127"/>
      <c r="U14" s="127"/>
    </row>
    <row r="15" spans="1:21" s="121" customFormat="1" ht="15.75" customHeight="1">
      <c r="A15" s="122" t="s">
        <v>42</v>
      </c>
      <c r="B15" s="130" t="s">
        <v>248</v>
      </c>
      <c r="C15" s="131"/>
      <c r="D15" s="127"/>
      <c r="E15" s="128"/>
      <c r="F15" s="132"/>
      <c r="G15" s="127"/>
      <c r="H15" s="127"/>
      <c r="I15" s="127"/>
      <c r="J15" s="127"/>
      <c r="K15" s="127"/>
      <c r="L15" s="127"/>
      <c r="M15" s="127"/>
      <c r="N15" s="127"/>
      <c r="O15" s="127"/>
      <c r="P15" s="127"/>
      <c r="Q15" s="127"/>
      <c r="R15" s="127"/>
      <c r="S15" s="127"/>
      <c r="T15" s="127"/>
      <c r="U15" s="127"/>
    </row>
    <row r="16" spans="1:21" s="121" customFormat="1" ht="15.75" customHeight="1">
      <c r="A16" s="127"/>
      <c r="B16" s="128"/>
      <c r="C16" s="132"/>
      <c r="D16" s="127"/>
      <c r="E16" s="128"/>
      <c r="F16" s="132"/>
      <c r="G16" s="127"/>
      <c r="H16" s="127"/>
      <c r="I16" s="127"/>
      <c r="J16" s="127"/>
      <c r="K16" s="127"/>
      <c r="L16" s="127"/>
      <c r="M16" s="127"/>
      <c r="N16" s="127"/>
      <c r="O16" s="127"/>
      <c r="P16" s="127"/>
      <c r="Q16" s="127"/>
      <c r="R16" s="127"/>
      <c r="S16" s="127"/>
      <c r="T16" s="127"/>
      <c r="U16" s="127"/>
    </row>
    <row r="17" spans="1:21" s="121" customFormat="1" ht="15.75" customHeight="1">
      <c r="A17" s="127"/>
      <c r="B17" s="128"/>
      <c r="C17" s="132"/>
      <c r="D17" s="127"/>
      <c r="E17" s="128"/>
      <c r="F17" s="132"/>
      <c r="G17" s="127"/>
      <c r="H17" s="127"/>
      <c r="I17" s="127"/>
      <c r="J17" s="127"/>
      <c r="K17" s="127"/>
      <c r="L17" s="127"/>
      <c r="M17" s="127"/>
      <c r="N17" s="127"/>
      <c r="O17" s="127"/>
      <c r="P17" s="127"/>
      <c r="Q17" s="127"/>
      <c r="R17" s="127"/>
      <c r="S17" s="127"/>
      <c r="T17" s="127"/>
      <c r="U17" s="127"/>
    </row>
    <row r="18" spans="1:21" ht="15.75" customHeight="1">
      <c r="A18" s="127"/>
      <c r="B18" s="128"/>
      <c r="C18" s="132"/>
      <c r="D18" s="122"/>
      <c r="E18" s="133"/>
      <c r="F18" s="133"/>
      <c r="G18" s="132"/>
      <c r="H18" s="132"/>
      <c r="I18" s="132"/>
      <c r="J18" s="132"/>
      <c r="K18" s="132"/>
      <c r="L18" s="132"/>
      <c r="M18" s="132"/>
      <c r="N18" s="132"/>
      <c r="O18" s="132"/>
      <c r="P18" s="132"/>
      <c r="Q18" s="132"/>
      <c r="R18" s="132"/>
      <c r="S18" s="132"/>
      <c r="T18" s="132"/>
      <c r="U18" s="132"/>
    </row>
    <row r="19" spans="1:21">
      <c r="A19" s="122" t="s">
        <v>8</v>
      </c>
      <c r="B19" s="205" t="s">
        <v>31</v>
      </c>
      <c r="C19" s="205"/>
      <c r="D19" s="132"/>
      <c r="E19" s="132"/>
      <c r="F19" s="132"/>
      <c r="G19" s="132"/>
      <c r="H19" s="132"/>
      <c r="I19" s="132"/>
      <c r="J19" s="132"/>
      <c r="K19" s="132"/>
      <c r="L19" s="132"/>
      <c r="M19" s="132"/>
      <c r="N19" s="132"/>
      <c r="O19" s="132"/>
      <c r="P19" s="132"/>
      <c r="Q19" s="132"/>
      <c r="R19" s="132"/>
      <c r="S19" s="132"/>
      <c r="T19" s="132"/>
      <c r="U19" s="132"/>
    </row>
    <row r="22" spans="1:21" ht="16.5">
      <c r="T22" s="204" t="s">
        <v>171</v>
      </c>
      <c r="U22" s="204"/>
    </row>
  </sheetData>
  <mergeCells count="21">
    <mergeCell ref="T22:U22"/>
    <mergeCell ref="B19:C19"/>
    <mergeCell ref="B8:C8"/>
    <mergeCell ref="D5:D7"/>
    <mergeCell ref="S5:S7"/>
    <mergeCell ref="E6:F6"/>
    <mergeCell ref="T5:T7"/>
    <mergeCell ref="M6:O6"/>
    <mergeCell ref="C6:C7"/>
    <mergeCell ref="U5:U7"/>
    <mergeCell ref="B6:B7"/>
    <mergeCell ref="S1:U1"/>
    <mergeCell ref="A5:A7"/>
    <mergeCell ref="E5:R5"/>
    <mergeCell ref="B5:C5"/>
    <mergeCell ref="A2:U2"/>
    <mergeCell ref="A3:U3"/>
    <mergeCell ref="A4:U4"/>
    <mergeCell ref="G6:I6"/>
    <mergeCell ref="J6:L6"/>
    <mergeCell ref="P6:R6"/>
  </mergeCells>
  <phoneticPr fontId="0" type="noConversion"/>
  <pageMargins left="0.76" right="0.26" top="0.51" bottom="0.79" header="0.74" footer="0.51181102362204722"/>
  <pageSetup paperSize="9" scale="56"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AA22"/>
  <sheetViews>
    <sheetView view="pageBreakPreview" zoomScale="85" zoomScaleNormal="70" zoomScaleSheetLayoutView="85" workbookViewId="0">
      <selection sqref="A1:I1"/>
    </sheetView>
  </sheetViews>
  <sheetFormatPr defaultRowHeight="12.75"/>
  <cols>
    <col min="1" max="1" width="6.5" customWidth="1"/>
    <col min="2" max="4" width="11.83203125" customWidth="1"/>
    <col min="5" max="5" width="11" customWidth="1"/>
    <col min="6" max="6" width="9.5" bestFit="1" customWidth="1"/>
    <col min="7" max="8" width="9.5" customWidth="1"/>
    <col min="9" max="9" width="10.5" customWidth="1"/>
    <col min="10" max="12" width="11.5" customWidth="1"/>
    <col min="13" max="13" width="11.6640625" customWidth="1"/>
    <col min="14" max="14" width="12.83203125" customWidth="1"/>
    <col min="15" max="15" width="11.5" bestFit="1" customWidth="1"/>
    <col min="16" max="16" width="11.5" customWidth="1"/>
    <col min="17" max="17" width="13.33203125" customWidth="1"/>
    <col min="18" max="20" width="11.5" customWidth="1"/>
    <col min="21" max="22" width="13.6640625" customWidth="1"/>
    <col min="23" max="23" width="11.5" bestFit="1" customWidth="1"/>
    <col min="24" max="24" width="11.5" customWidth="1"/>
    <col min="25" max="25" width="14.6640625" customWidth="1"/>
    <col min="26" max="26" width="17.83203125" customWidth="1"/>
    <col min="27" max="27" width="18.83203125" customWidth="1"/>
  </cols>
  <sheetData>
    <row r="1" spans="1:27" ht="25.5" customHeight="1">
      <c r="X1" s="175" t="s">
        <v>277</v>
      </c>
      <c r="Y1" s="175"/>
      <c r="Z1" s="175"/>
      <c r="AA1" s="175"/>
    </row>
    <row r="2" spans="1:27" s="118" customFormat="1" ht="21.75" customHeight="1">
      <c r="A2" s="171" t="s">
        <v>253</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row>
    <row r="3" spans="1:27" s="118" customFormat="1" ht="21.95" customHeight="1">
      <c r="A3" s="171" t="str">
        <f>+'2. (Mat)'!A3:AA3</f>
        <v>Từ đoạn Km…+… - Km…+… Đường …</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row>
    <row r="4" spans="1:27" s="118" customFormat="1" ht="21.95" customHeight="1">
      <c r="A4" s="192" t="str">
        <f>+'2. (Mat)'!A4:AA4</f>
        <v>Tính đến ngày 31 tháng 12 năm 2023</v>
      </c>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row>
    <row r="5" spans="1:27" s="1" customFormat="1" ht="17.25" customHeight="1">
      <c r="A5" s="174" t="s">
        <v>0</v>
      </c>
      <c r="B5" s="174" t="s">
        <v>2</v>
      </c>
      <c r="C5" s="174"/>
      <c r="D5" s="174" t="s">
        <v>145</v>
      </c>
      <c r="E5" s="174"/>
      <c r="F5" s="174"/>
      <c r="G5" s="174"/>
      <c r="H5" s="174"/>
      <c r="I5" s="174"/>
      <c r="J5" s="174"/>
      <c r="K5" s="174"/>
      <c r="L5" s="174"/>
      <c r="M5" s="174"/>
      <c r="N5" s="174"/>
      <c r="O5" s="174"/>
      <c r="P5" s="174"/>
      <c r="Q5" s="174"/>
      <c r="R5" s="174"/>
      <c r="S5" s="174"/>
      <c r="T5" s="174"/>
      <c r="U5" s="174"/>
      <c r="V5" s="174"/>
      <c r="W5" s="174"/>
      <c r="X5" s="174"/>
      <c r="Y5" s="174"/>
      <c r="Z5" s="174" t="s">
        <v>147</v>
      </c>
      <c r="AA5" s="182" t="s">
        <v>3</v>
      </c>
    </row>
    <row r="6" spans="1:27" s="1" customFormat="1" ht="18.75" customHeight="1">
      <c r="A6" s="174"/>
      <c r="B6" s="174" t="s">
        <v>30</v>
      </c>
      <c r="C6" s="174" t="s">
        <v>6</v>
      </c>
      <c r="D6" s="174" t="s">
        <v>281</v>
      </c>
      <c r="E6" s="174"/>
      <c r="F6" s="174" t="s">
        <v>282</v>
      </c>
      <c r="G6" s="174"/>
      <c r="H6" s="174"/>
      <c r="I6" s="174"/>
      <c r="J6" s="174" t="s">
        <v>283</v>
      </c>
      <c r="K6" s="174"/>
      <c r="L6" s="174"/>
      <c r="M6" s="174"/>
      <c r="N6" s="174"/>
      <c r="O6" s="174"/>
      <c r="P6" s="174"/>
      <c r="Q6" s="174"/>
      <c r="R6" s="174" t="s">
        <v>287</v>
      </c>
      <c r="S6" s="174"/>
      <c r="T6" s="174"/>
      <c r="U6" s="174"/>
      <c r="V6" s="174"/>
      <c r="W6" s="174"/>
      <c r="X6" s="174"/>
      <c r="Y6" s="174"/>
      <c r="Z6" s="174"/>
      <c r="AA6" s="182"/>
    </row>
    <row r="7" spans="1:27" s="1" customFormat="1" ht="15.75">
      <c r="A7" s="174"/>
      <c r="B7" s="174"/>
      <c r="C7" s="174"/>
      <c r="D7" s="174"/>
      <c r="E7" s="174"/>
      <c r="F7" s="174" t="s">
        <v>142</v>
      </c>
      <c r="G7" s="174"/>
      <c r="H7" s="174" t="s">
        <v>143</v>
      </c>
      <c r="I7" s="174"/>
      <c r="J7" s="174" t="s">
        <v>284</v>
      </c>
      <c r="K7" s="174"/>
      <c r="L7" s="174"/>
      <c r="M7" s="174"/>
      <c r="N7" s="174" t="s">
        <v>285</v>
      </c>
      <c r="O7" s="174"/>
      <c r="P7" s="174" t="s">
        <v>286</v>
      </c>
      <c r="Q7" s="174"/>
      <c r="R7" s="174" t="s">
        <v>284</v>
      </c>
      <c r="S7" s="174"/>
      <c r="T7" s="174"/>
      <c r="U7" s="174"/>
      <c r="V7" s="174" t="s">
        <v>285</v>
      </c>
      <c r="W7" s="174"/>
      <c r="X7" s="174" t="s">
        <v>286</v>
      </c>
      <c r="Y7" s="174"/>
      <c r="Z7" s="174"/>
      <c r="AA7" s="182"/>
    </row>
    <row r="8" spans="1:27" s="1" customFormat="1" ht="15.75">
      <c r="A8" s="174"/>
      <c r="B8" s="174"/>
      <c r="C8" s="174"/>
      <c r="D8" s="174"/>
      <c r="E8" s="174"/>
      <c r="F8" s="174"/>
      <c r="G8" s="174"/>
      <c r="H8" s="174"/>
      <c r="I8" s="174"/>
      <c r="J8" s="174" t="s">
        <v>146</v>
      </c>
      <c r="K8" s="174"/>
      <c r="L8" s="174" t="s">
        <v>143</v>
      </c>
      <c r="M8" s="174"/>
      <c r="N8" s="174"/>
      <c r="O8" s="174"/>
      <c r="P8" s="174"/>
      <c r="Q8" s="174"/>
      <c r="R8" s="174" t="s">
        <v>146</v>
      </c>
      <c r="S8" s="174"/>
      <c r="T8" s="174" t="s">
        <v>143</v>
      </c>
      <c r="U8" s="174"/>
      <c r="V8" s="174"/>
      <c r="W8" s="174"/>
      <c r="X8" s="174"/>
      <c r="Y8" s="174"/>
      <c r="Z8" s="174"/>
      <c r="AA8" s="182"/>
    </row>
    <row r="9" spans="1:27" s="1" customFormat="1" ht="20.25" customHeight="1">
      <c r="A9" s="174"/>
      <c r="B9" s="174"/>
      <c r="C9" s="174"/>
      <c r="D9" s="4" t="s">
        <v>28</v>
      </c>
      <c r="E9" s="4" t="s">
        <v>29</v>
      </c>
      <c r="F9" s="4" t="s">
        <v>28</v>
      </c>
      <c r="G9" s="4" t="s">
        <v>29</v>
      </c>
      <c r="H9" s="4" t="s">
        <v>144</v>
      </c>
      <c r="I9" s="4" t="s">
        <v>29</v>
      </c>
      <c r="J9" s="4" t="s">
        <v>144</v>
      </c>
      <c r="K9" s="4" t="s">
        <v>29</v>
      </c>
      <c r="L9" s="4" t="s">
        <v>144</v>
      </c>
      <c r="M9" s="4" t="s">
        <v>29</v>
      </c>
      <c r="N9" s="4" t="s">
        <v>144</v>
      </c>
      <c r="O9" s="4" t="s">
        <v>29</v>
      </c>
      <c r="P9" s="4" t="s">
        <v>144</v>
      </c>
      <c r="Q9" s="4" t="s">
        <v>29</v>
      </c>
      <c r="R9" s="4" t="s">
        <v>144</v>
      </c>
      <c r="S9" s="4" t="s">
        <v>29</v>
      </c>
      <c r="T9" s="4" t="s">
        <v>144</v>
      </c>
      <c r="U9" s="4" t="s">
        <v>29</v>
      </c>
      <c r="V9" s="4" t="s">
        <v>144</v>
      </c>
      <c r="W9" s="4" t="s">
        <v>29</v>
      </c>
      <c r="X9" s="4" t="s">
        <v>144</v>
      </c>
      <c r="Y9" s="4" t="s">
        <v>29</v>
      </c>
      <c r="Z9" s="174"/>
      <c r="AA9" s="182"/>
    </row>
    <row r="10" spans="1:27" s="1" customFormat="1" ht="20.25" customHeight="1">
      <c r="A10" s="10" t="s">
        <v>11</v>
      </c>
      <c r="B10" s="193" t="s">
        <v>230</v>
      </c>
      <c r="C10" s="194"/>
      <c r="D10" s="6"/>
      <c r="E10" s="6"/>
      <c r="F10" s="6"/>
      <c r="G10" s="6"/>
      <c r="H10" s="6"/>
      <c r="I10" s="6"/>
      <c r="J10" s="6"/>
      <c r="K10" s="6"/>
      <c r="L10" s="6"/>
      <c r="M10" s="6"/>
      <c r="N10" s="6"/>
      <c r="O10" s="6"/>
      <c r="P10" s="6"/>
      <c r="Q10" s="6"/>
      <c r="R10" s="6"/>
      <c r="S10" s="6"/>
      <c r="T10" s="6"/>
      <c r="U10" s="6"/>
      <c r="V10" s="6"/>
      <c r="W10" s="6"/>
      <c r="X10" s="6"/>
      <c r="Y10" s="6"/>
      <c r="Z10" s="6"/>
      <c r="AA10" s="6"/>
    </row>
    <row r="11" spans="1:27" s="13" customFormat="1" ht="20.25" customHeight="1">
      <c r="A11" s="10"/>
      <c r="B11" s="12"/>
      <c r="C11" s="12"/>
      <c r="D11" s="15"/>
      <c r="E11" s="15"/>
      <c r="F11" s="15"/>
      <c r="G11" s="15"/>
      <c r="H11" s="15"/>
      <c r="I11" s="15"/>
      <c r="J11" s="15"/>
      <c r="K11" s="15"/>
      <c r="L11" s="15"/>
      <c r="M11" s="15"/>
      <c r="N11" s="15"/>
      <c r="O11" s="15"/>
      <c r="P11" s="15"/>
      <c r="Q11" s="15"/>
      <c r="R11" s="15"/>
      <c r="S11" s="15"/>
      <c r="T11" s="15"/>
      <c r="U11" s="15"/>
      <c r="V11" s="15"/>
      <c r="W11" s="15"/>
      <c r="X11" s="15"/>
      <c r="Y11" s="15"/>
      <c r="Z11" s="15"/>
      <c r="AA11" s="15"/>
    </row>
    <row r="12" spans="1:27" s="1" customFormat="1" ht="20.25" customHeight="1">
      <c r="A12" s="6"/>
      <c r="B12" s="11"/>
      <c r="C12" s="11"/>
      <c r="D12" s="6"/>
      <c r="E12" s="6"/>
      <c r="F12" s="6"/>
      <c r="G12" s="6"/>
      <c r="H12" s="6"/>
      <c r="I12" s="6"/>
      <c r="J12" s="6"/>
      <c r="K12" s="6"/>
      <c r="L12" s="6"/>
      <c r="M12" s="6"/>
      <c r="N12" s="6"/>
      <c r="O12" s="6"/>
      <c r="P12" s="6"/>
      <c r="Q12" s="6"/>
      <c r="R12" s="6"/>
      <c r="S12" s="6"/>
      <c r="T12" s="6"/>
      <c r="U12" s="6"/>
      <c r="V12" s="6"/>
      <c r="W12" s="6"/>
      <c r="X12" s="6"/>
      <c r="Y12" s="6"/>
      <c r="Z12" s="6"/>
      <c r="AA12" s="6"/>
    </row>
    <row r="13" spans="1:27" s="1" customFormat="1" ht="20.25" customHeight="1">
      <c r="A13" s="6"/>
      <c r="B13" s="11"/>
      <c r="C13" s="11"/>
      <c r="D13" s="6"/>
      <c r="E13" s="6"/>
      <c r="F13" s="6"/>
      <c r="G13" s="6"/>
      <c r="H13" s="6"/>
      <c r="I13" s="6"/>
      <c r="J13" s="6"/>
      <c r="K13" s="6"/>
      <c r="L13" s="6"/>
      <c r="M13" s="6"/>
      <c r="N13" s="6"/>
      <c r="O13" s="6"/>
      <c r="P13" s="6"/>
      <c r="Q13" s="6"/>
      <c r="R13" s="6"/>
      <c r="S13" s="6"/>
      <c r="T13" s="6"/>
      <c r="U13" s="6"/>
      <c r="V13" s="6"/>
      <c r="W13" s="6"/>
      <c r="X13" s="6"/>
      <c r="Y13" s="6"/>
      <c r="Z13" s="6"/>
      <c r="AA13" s="6"/>
    </row>
    <row r="14" spans="1:27" s="13" customFormat="1" ht="20.25" customHeight="1">
      <c r="A14" s="10"/>
      <c r="B14" s="12"/>
      <c r="C14" s="12"/>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s="1" customFormat="1" ht="20.25" customHeight="1">
      <c r="A15" s="6"/>
      <c r="B15" s="11"/>
      <c r="C15" s="11"/>
      <c r="D15" s="6"/>
      <c r="E15" s="6"/>
      <c r="F15" s="6"/>
      <c r="G15" s="6"/>
      <c r="H15" s="6"/>
      <c r="I15" s="6"/>
      <c r="J15" s="6"/>
      <c r="K15" s="6"/>
      <c r="L15" s="6"/>
      <c r="M15" s="6"/>
      <c r="N15" s="6"/>
      <c r="O15" s="6"/>
      <c r="P15" s="6"/>
      <c r="Q15" s="6"/>
      <c r="R15" s="6"/>
      <c r="S15" s="6"/>
      <c r="T15" s="6"/>
      <c r="U15" s="6"/>
      <c r="V15" s="6"/>
      <c r="W15" s="6"/>
      <c r="X15" s="6"/>
      <c r="Y15" s="6"/>
      <c r="Z15" s="6"/>
      <c r="AA15" s="6"/>
    </row>
    <row r="16" spans="1:27" s="1" customFormat="1" ht="20.25" customHeight="1">
      <c r="A16" s="10" t="s">
        <v>42</v>
      </c>
      <c r="B16" s="104" t="s">
        <v>248</v>
      </c>
      <c r="C16" s="106"/>
      <c r="D16" s="6"/>
      <c r="E16" s="6"/>
      <c r="F16" s="6"/>
      <c r="G16" s="6"/>
      <c r="H16" s="6"/>
      <c r="I16" s="6"/>
      <c r="J16" s="6"/>
      <c r="K16" s="6"/>
      <c r="L16" s="6"/>
      <c r="M16" s="6"/>
      <c r="N16" s="6"/>
      <c r="O16" s="6"/>
      <c r="P16" s="6"/>
      <c r="Q16" s="6"/>
      <c r="R16" s="6"/>
      <c r="S16" s="6"/>
      <c r="T16" s="6"/>
      <c r="U16" s="6"/>
      <c r="V16" s="6"/>
      <c r="W16" s="6"/>
      <c r="X16" s="6"/>
      <c r="Y16" s="6"/>
      <c r="Z16" s="6"/>
      <c r="AA16" s="6"/>
    </row>
    <row r="17" spans="1:27" s="1" customFormat="1" ht="20.25" customHeight="1">
      <c r="A17" s="6"/>
      <c r="B17" s="11"/>
      <c r="C17" s="103"/>
      <c r="D17" s="6"/>
      <c r="E17" s="6"/>
      <c r="F17" s="6"/>
      <c r="G17" s="6"/>
      <c r="H17" s="6"/>
      <c r="I17" s="6"/>
      <c r="J17" s="6"/>
      <c r="K17" s="6"/>
      <c r="L17" s="6"/>
      <c r="M17" s="6"/>
      <c r="N17" s="6"/>
      <c r="O17" s="6"/>
      <c r="P17" s="6"/>
      <c r="Q17" s="6"/>
      <c r="R17" s="6"/>
      <c r="S17" s="6"/>
      <c r="T17" s="6"/>
      <c r="U17" s="6"/>
      <c r="V17" s="6"/>
      <c r="W17" s="6"/>
      <c r="X17" s="6"/>
      <c r="Y17" s="6"/>
      <c r="Z17" s="6"/>
      <c r="AA17" s="6"/>
    </row>
    <row r="18" spans="1:27" s="1" customFormat="1" ht="20.25" customHeight="1">
      <c r="A18" s="6"/>
      <c r="B18" s="11"/>
      <c r="C18" s="103"/>
      <c r="D18" s="6"/>
      <c r="E18" s="6"/>
      <c r="F18" s="6"/>
      <c r="G18" s="6"/>
      <c r="H18" s="6"/>
      <c r="I18" s="6"/>
      <c r="J18" s="6"/>
      <c r="K18" s="6"/>
      <c r="L18" s="6"/>
      <c r="M18" s="6"/>
      <c r="N18" s="6"/>
      <c r="O18" s="6"/>
      <c r="P18" s="6"/>
      <c r="Q18" s="6"/>
      <c r="R18" s="6"/>
      <c r="S18" s="6"/>
      <c r="T18" s="6"/>
      <c r="U18" s="6"/>
      <c r="V18" s="6"/>
      <c r="W18" s="6"/>
      <c r="X18" s="6"/>
      <c r="Y18" s="6"/>
      <c r="Z18" s="6"/>
      <c r="AA18" s="6"/>
    </row>
    <row r="19" spans="1:27" s="1" customFormat="1" ht="20.25" customHeight="1">
      <c r="A19" s="6"/>
      <c r="B19" s="11"/>
      <c r="C19" s="103"/>
      <c r="D19" s="6"/>
      <c r="E19" s="6"/>
      <c r="F19" s="6"/>
      <c r="G19" s="6"/>
      <c r="H19" s="6"/>
      <c r="I19" s="6"/>
      <c r="J19" s="6"/>
      <c r="K19" s="6"/>
      <c r="L19" s="6"/>
      <c r="M19" s="6"/>
      <c r="N19" s="6"/>
      <c r="O19" s="6"/>
      <c r="P19" s="6"/>
      <c r="Q19" s="6"/>
      <c r="R19" s="6"/>
      <c r="S19" s="6"/>
      <c r="T19" s="6"/>
      <c r="U19" s="6"/>
      <c r="V19" s="6"/>
      <c r="W19" s="6"/>
      <c r="X19" s="6"/>
      <c r="Y19" s="6"/>
      <c r="Z19" s="6"/>
      <c r="AA19" s="6"/>
    </row>
    <row r="20" spans="1:27" s="1" customFormat="1" ht="20.25" customHeight="1">
      <c r="A20" s="10" t="s">
        <v>8</v>
      </c>
      <c r="B20" s="187" t="s">
        <v>31</v>
      </c>
      <c r="C20" s="189"/>
      <c r="D20" s="6"/>
      <c r="E20" s="6"/>
      <c r="F20" s="6"/>
      <c r="G20" s="6"/>
      <c r="H20" s="6"/>
      <c r="I20" s="6"/>
      <c r="J20" s="6"/>
      <c r="K20" s="6"/>
      <c r="L20" s="6"/>
      <c r="M20" s="6"/>
      <c r="N20" s="6"/>
      <c r="O20" s="6"/>
      <c r="P20" s="6"/>
      <c r="Q20" s="6"/>
      <c r="R20" s="6"/>
      <c r="S20" s="6"/>
      <c r="T20" s="6"/>
      <c r="U20" s="6"/>
      <c r="V20" s="6"/>
      <c r="W20" s="6"/>
      <c r="X20" s="6"/>
      <c r="Y20" s="6"/>
      <c r="Z20" s="6"/>
      <c r="AA20" s="6"/>
    </row>
    <row r="22" spans="1:27" ht="16.5">
      <c r="Z22" s="185" t="s">
        <v>171</v>
      </c>
      <c r="AA22" s="185"/>
    </row>
  </sheetData>
  <mergeCells count="30">
    <mergeCell ref="J8:K8"/>
    <mergeCell ref="L8:M8"/>
    <mergeCell ref="N7:O8"/>
    <mergeCell ref="P7:Q8"/>
    <mergeCell ref="A2:AA2"/>
    <mergeCell ref="A3:AA3"/>
    <mergeCell ref="A4:AA4"/>
    <mergeCell ref="B5:C5"/>
    <mergeCell ref="F6:I6"/>
    <mergeCell ref="A5:A9"/>
    <mergeCell ref="B6:B9"/>
    <mergeCell ref="C6:C9"/>
    <mergeCell ref="F7:G8"/>
    <mergeCell ref="H7:I8"/>
    <mergeCell ref="X1:AA1"/>
    <mergeCell ref="Z22:AA22"/>
    <mergeCell ref="B20:C20"/>
    <mergeCell ref="AA5:AA9"/>
    <mergeCell ref="Z5:Z9"/>
    <mergeCell ref="D5:Y5"/>
    <mergeCell ref="D6:E8"/>
    <mergeCell ref="B10:C10"/>
    <mergeCell ref="R6:Y6"/>
    <mergeCell ref="R7:U7"/>
    <mergeCell ref="V7:W8"/>
    <mergeCell ref="X7:Y8"/>
    <mergeCell ref="R8:S8"/>
    <mergeCell ref="J6:Q6"/>
    <mergeCell ref="T8:U8"/>
    <mergeCell ref="J7:M7"/>
  </mergeCells>
  <phoneticPr fontId="0" type="noConversion"/>
  <pageMargins left="0.74803149606299213" right="0.55118110236220474" top="0.78740157480314965" bottom="0.78740157480314965" header="0.51181102362204722" footer="0.51181102362204722"/>
  <pageSetup paperSize="9" scale="45"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A21"/>
  <sheetViews>
    <sheetView view="pageBreakPreview" zoomScale="60" zoomScaleNormal="100" workbookViewId="0">
      <selection activeCell="G35" sqref="G35"/>
    </sheetView>
  </sheetViews>
  <sheetFormatPr defaultRowHeight="12.75"/>
  <cols>
    <col min="1" max="1" width="6.5" customWidth="1"/>
    <col min="2" max="3" width="11.83203125" customWidth="1"/>
    <col min="4" max="8" width="17.83203125" customWidth="1"/>
    <col min="9" max="11" width="17.5" customWidth="1"/>
    <col min="12" max="12" width="18.83203125" customWidth="1"/>
  </cols>
  <sheetData>
    <row r="1" spans="1:27" ht="20.25" customHeight="1">
      <c r="J1" s="175" t="s">
        <v>278</v>
      </c>
      <c r="K1" s="175"/>
      <c r="L1" s="175"/>
    </row>
    <row r="2" spans="1:27" ht="16.5">
      <c r="A2" s="185" t="s">
        <v>258</v>
      </c>
      <c r="B2" s="185"/>
      <c r="C2" s="185"/>
      <c r="D2" s="185"/>
      <c r="E2" s="185"/>
      <c r="F2" s="185"/>
      <c r="G2" s="185"/>
      <c r="H2" s="185"/>
      <c r="I2" s="185"/>
      <c r="J2" s="185"/>
      <c r="K2" s="185"/>
      <c r="L2" s="185"/>
    </row>
    <row r="3" spans="1:27" ht="16.5">
      <c r="A3" s="185" t="str">
        <f>+'2. (Mat)'!A3:AA3</f>
        <v>Từ đoạn Km…+… - Km…+… Đường …</v>
      </c>
      <c r="B3" s="185"/>
      <c r="C3" s="185"/>
      <c r="D3" s="185"/>
      <c r="E3" s="185"/>
      <c r="F3" s="185"/>
      <c r="G3" s="185"/>
      <c r="H3" s="185"/>
      <c r="I3" s="185"/>
      <c r="J3" s="185"/>
      <c r="K3" s="185"/>
      <c r="L3" s="185"/>
    </row>
    <row r="4" spans="1:27" ht="16.5">
      <c r="A4" s="186" t="str">
        <f>+'2. (Mat)'!A4:AA4</f>
        <v>Tính đến ngày 31 tháng 12 năm 2023</v>
      </c>
      <c r="B4" s="186"/>
      <c r="C4" s="186"/>
      <c r="D4" s="186"/>
      <c r="E4" s="186"/>
      <c r="F4" s="186"/>
      <c r="G4" s="186"/>
      <c r="H4" s="186"/>
      <c r="I4" s="186"/>
      <c r="J4" s="186"/>
      <c r="K4" s="186"/>
      <c r="L4" s="186"/>
    </row>
    <row r="5" spans="1:27" s="1" customFormat="1" ht="17.25" customHeight="1">
      <c r="A5" s="174" t="s">
        <v>0</v>
      </c>
      <c r="B5" s="174" t="s">
        <v>2</v>
      </c>
      <c r="C5" s="174"/>
      <c r="D5" s="174" t="s">
        <v>148</v>
      </c>
      <c r="E5" s="174"/>
      <c r="F5" s="174"/>
      <c r="G5" s="174"/>
      <c r="H5" s="174"/>
      <c r="I5" s="182" t="s">
        <v>151</v>
      </c>
      <c r="J5" s="182"/>
      <c r="K5" s="182"/>
      <c r="L5" s="182" t="s">
        <v>3</v>
      </c>
    </row>
    <row r="6" spans="1:27" s="1" customFormat="1" ht="18.75" customHeight="1">
      <c r="A6" s="174"/>
      <c r="B6" s="174" t="s">
        <v>30</v>
      </c>
      <c r="C6" s="174" t="s">
        <v>6</v>
      </c>
      <c r="D6" s="174" t="s">
        <v>149</v>
      </c>
      <c r="E6" s="174"/>
      <c r="F6" s="174" t="s">
        <v>150</v>
      </c>
      <c r="G6" s="174"/>
      <c r="H6" s="174" t="s">
        <v>147</v>
      </c>
      <c r="I6" s="174" t="s">
        <v>152</v>
      </c>
      <c r="J6" s="174"/>
      <c r="K6" s="174" t="s">
        <v>147</v>
      </c>
      <c r="L6" s="182"/>
    </row>
    <row r="7" spans="1:27" s="1" customFormat="1" ht="20.25" customHeight="1">
      <c r="A7" s="174"/>
      <c r="B7" s="174"/>
      <c r="C7" s="174"/>
      <c r="D7" s="4" t="s">
        <v>144</v>
      </c>
      <c r="E7" s="4" t="s">
        <v>29</v>
      </c>
      <c r="F7" s="4" t="s">
        <v>144</v>
      </c>
      <c r="G7" s="4" t="s">
        <v>29</v>
      </c>
      <c r="H7" s="174"/>
      <c r="I7" s="4" t="s">
        <v>28</v>
      </c>
      <c r="J7" s="4" t="s">
        <v>29</v>
      </c>
      <c r="K7" s="174"/>
      <c r="L7" s="182"/>
    </row>
    <row r="8" spans="1:27" s="1" customFormat="1" ht="20.25" customHeight="1">
      <c r="A8" s="10" t="s">
        <v>11</v>
      </c>
      <c r="B8" s="176" t="s">
        <v>230</v>
      </c>
      <c r="C8" s="178"/>
      <c r="D8" s="6"/>
      <c r="E8" s="6"/>
      <c r="F8" s="6"/>
      <c r="G8" s="6"/>
      <c r="H8" s="6"/>
      <c r="I8" s="6"/>
      <c r="J8" s="6"/>
      <c r="K8" s="6"/>
      <c r="L8" s="6"/>
    </row>
    <row r="9" spans="1:27" s="13" customFormat="1" ht="20.25" customHeight="1">
      <c r="A9" s="10"/>
      <c r="B9" s="12"/>
      <c r="C9" s="12"/>
      <c r="D9" s="15"/>
      <c r="E9" s="15"/>
      <c r="F9" s="15"/>
      <c r="G9" s="15"/>
      <c r="H9" s="15"/>
      <c r="I9" s="15"/>
      <c r="J9" s="15"/>
      <c r="K9" s="15"/>
      <c r="L9" s="15"/>
      <c r="M9" s="15"/>
      <c r="N9" s="15"/>
      <c r="O9" s="15"/>
      <c r="P9" s="15"/>
      <c r="Q9" s="15"/>
      <c r="R9" s="15"/>
      <c r="S9" s="15"/>
      <c r="T9" s="15"/>
      <c r="U9" s="15"/>
      <c r="V9" s="15"/>
      <c r="W9" s="15"/>
      <c r="X9" s="15"/>
      <c r="Y9" s="15"/>
      <c r="Z9" s="15"/>
      <c r="AA9" s="15"/>
    </row>
    <row r="10" spans="1:27" s="1" customFormat="1" ht="20.25" customHeight="1">
      <c r="A10" s="6"/>
      <c r="B10" s="11"/>
      <c r="C10" s="11"/>
      <c r="D10" s="6"/>
      <c r="E10" s="6"/>
      <c r="F10" s="6"/>
      <c r="G10" s="6"/>
      <c r="H10" s="6"/>
      <c r="I10" s="6"/>
      <c r="J10" s="6"/>
      <c r="K10" s="6"/>
      <c r="L10" s="6"/>
      <c r="M10" s="6"/>
      <c r="N10" s="6"/>
      <c r="O10" s="6"/>
      <c r="P10" s="6"/>
      <c r="Q10" s="6"/>
      <c r="R10" s="6"/>
      <c r="S10" s="6"/>
      <c r="T10" s="6"/>
      <c r="U10" s="6"/>
      <c r="V10" s="6"/>
      <c r="W10" s="6"/>
      <c r="X10" s="6"/>
      <c r="Y10" s="6"/>
      <c r="Z10" s="6"/>
      <c r="AA10" s="6"/>
    </row>
    <row r="11" spans="1:27" s="1" customFormat="1" ht="20.25" customHeight="1">
      <c r="A11" s="6"/>
      <c r="B11" s="11"/>
      <c r="C11" s="11"/>
      <c r="D11" s="6"/>
      <c r="E11" s="6"/>
      <c r="F11" s="6"/>
      <c r="G11" s="6"/>
      <c r="H11" s="6"/>
      <c r="I11" s="6"/>
      <c r="J11" s="6"/>
      <c r="K11" s="6"/>
      <c r="L11" s="6"/>
      <c r="M11" s="6"/>
      <c r="N11" s="6"/>
      <c r="O11" s="6"/>
      <c r="P11" s="6"/>
      <c r="Q11" s="6"/>
      <c r="R11" s="6"/>
      <c r="S11" s="6"/>
      <c r="T11" s="6"/>
      <c r="U11" s="6"/>
      <c r="V11" s="6"/>
      <c r="W11" s="6"/>
      <c r="X11" s="6"/>
      <c r="Y11" s="6"/>
      <c r="Z11" s="6"/>
      <c r="AA11" s="6"/>
    </row>
    <row r="12" spans="1:27" s="1" customFormat="1" ht="20.25" customHeight="1">
      <c r="A12" s="6"/>
      <c r="B12" s="107"/>
      <c r="C12" s="108"/>
      <c r="D12" s="6"/>
      <c r="E12" s="6"/>
      <c r="F12" s="6"/>
      <c r="G12" s="6"/>
      <c r="H12" s="6"/>
      <c r="I12" s="6"/>
      <c r="J12" s="6"/>
      <c r="K12" s="6"/>
      <c r="L12" s="6"/>
    </row>
    <row r="13" spans="1:27" s="1" customFormat="1" ht="20.25" customHeight="1">
      <c r="A13" s="10" t="s">
        <v>42</v>
      </c>
      <c r="B13" s="104" t="s">
        <v>238</v>
      </c>
      <c r="C13" s="106"/>
      <c r="D13" s="6"/>
      <c r="E13" s="6"/>
      <c r="F13" s="6"/>
      <c r="G13" s="6"/>
      <c r="H13" s="6"/>
      <c r="I13" s="6"/>
      <c r="J13" s="6"/>
      <c r="K13" s="6"/>
      <c r="L13" s="6"/>
    </row>
    <row r="14" spans="1:27" s="1" customFormat="1" ht="20.25" customHeight="1">
      <c r="A14" s="6"/>
      <c r="B14" s="11"/>
      <c r="C14" s="103"/>
      <c r="D14" s="6"/>
      <c r="E14" s="6"/>
      <c r="F14" s="6"/>
      <c r="G14" s="6"/>
      <c r="H14" s="6"/>
      <c r="I14" s="6"/>
      <c r="J14" s="6"/>
      <c r="K14" s="6"/>
      <c r="L14" s="6"/>
    </row>
    <row r="15" spans="1:27" s="1" customFormat="1" ht="20.25" customHeight="1">
      <c r="A15" s="6"/>
      <c r="B15" s="11"/>
      <c r="C15" s="103"/>
      <c r="D15" s="6"/>
      <c r="E15" s="6"/>
      <c r="F15" s="6"/>
      <c r="G15" s="6"/>
      <c r="H15" s="6"/>
      <c r="I15" s="6"/>
      <c r="J15" s="6"/>
      <c r="K15" s="6"/>
      <c r="L15" s="6"/>
    </row>
    <row r="16" spans="1:27" s="1" customFormat="1" ht="20.25" customHeight="1">
      <c r="A16" s="6"/>
      <c r="B16" s="11"/>
      <c r="C16" s="103"/>
      <c r="D16" s="6"/>
      <c r="E16" s="6"/>
      <c r="F16" s="6"/>
      <c r="G16" s="6"/>
      <c r="H16" s="6"/>
      <c r="I16" s="6"/>
      <c r="J16" s="6"/>
      <c r="K16" s="6"/>
      <c r="L16" s="6"/>
    </row>
    <row r="17" spans="1:12" s="1" customFormat="1" ht="20.25" customHeight="1">
      <c r="A17" s="10" t="s">
        <v>8</v>
      </c>
      <c r="B17" s="187" t="s">
        <v>31</v>
      </c>
      <c r="C17" s="189"/>
      <c r="D17" s="6"/>
      <c r="E17" s="6"/>
      <c r="F17" s="6"/>
      <c r="G17" s="6"/>
      <c r="H17" s="6"/>
      <c r="I17" s="6"/>
      <c r="J17" s="6"/>
      <c r="K17" s="6"/>
      <c r="L17" s="6"/>
    </row>
    <row r="18" spans="1:12" s="1" customFormat="1" ht="20.25" customHeight="1">
      <c r="A18" s="6"/>
      <c r="B18" s="6"/>
      <c r="C18" s="6"/>
      <c r="D18" s="6"/>
      <c r="E18" s="6"/>
      <c r="F18" s="6"/>
      <c r="G18" s="6"/>
      <c r="H18" s="6"/>
      <c r="I18" s="6"/>
      <c r="J18" s="6"/>
      <c r="K18" s="6"/>
      <c r="L18" s="6"/>
    </row>
    <row r="19" spans="1:12" s="1" customFormat="1" ht="20.25" customHeight="1">
      <c r="A19" s="6"/>
      <c r="B19" s="6"/>
      <c r="C19" s="6"/>
      <c r="D19" s="6"/>
      <c r="E19" s="6"/>
      <c r="F19" s="6"/>
      <c r="G19" s="6"/>
      <c r="H19" s="6"/>
      <c r="I19" s="6"/>
      <c r="J19" s="6"/>
      <c r="K19" s="6"/>
      <c r="L19" s="6"/>
    </row>
    <row r="21" spans="1:12" ht="16.5">
      <c r="K21" s="185" t="s">
        <v>171</v>
      </c>
      <c r="L21" s="185"/>
    </row>
  </sheetData>
  <mergeCells count="19">
    <mergeCell ref="K21:L21"/>
    <mergeCell ref="B8:C8"/>
    <mergeCell ref="B17:C17"/>
    <mergeCell ref="F6:G6"/>
    <mergeCell ref="H6:H7"/>
    <mergeCell ref="L5:L7"/>
    <mergeCell ref="B6:B7"/>
    <mergeCell ref="C6:C7"/>
    <mergeCell ref="D6:E6"/>
    <mergeCell ref="I6:J6"/>
    <mergeCell ref="K6:K7"/>
    <mergeCell ref="J1:L1"/>
    <mergeCell ref="A2:L2"/>
    <mergeCell ref="A3:L3"/>
    <mergeCell ref="A4:L4"/>
    <mergeCell ref="B5:C5"/>
    <mergeCell ref="D5:H5"/>
    <mergeCell ref="I5:K5"/>
    <mergeCell ref="A5:A7"/>
  </mergeCells>
  <pageMargins left="0.15748031496062992" right="0.19685039370078741" top="0.78740157480314965" bottom="0.35433070866141736" header="0.31496062992125984" footer="0.31496062992125984"/>
  <pageSetup paperSize="9" scale="8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8"/>
  <sheetViews>
    <sheetView workbookViewId="0">
      <selection sqref="A1:I1"/>
    </sheetView>
  </sheetViews>
  <sheetFormatPr defaultRowHeight="12.75"/>
  <cols>
    <col min="1" max="1" width="6.5" customWidth="1"/>
    <col min="2" max="3" width="11.83203125" customWidth="1"/>
    <col min="4" max="4" width="14.1640625" customWidth="1"/>
    <col min="5" max="5" width="19.5" customWidth="1"/>
    <col min="6" max="6" width="17.83203125" customWidth="1"/>
    <col min="7" max="7" width="19.1640625" customWidth="1"/>
    <col min="8" max="8" width="21.5" customWidth="1"/>
    <col min="9" max="9" width="18.83203125" customWidth="1"/>
  </cols>
  <sheetData>
    <row r="1" spans="1:9" ht="16.5">
      <c r="A1" s="185" t="s">
        <v>153</v>
      </c>
      <c r="B1" s="185"/>
      <c r="C1" s="185"/>
      <c r="D1" s="185"/>
      <c r="E1" s="185"/>
      <c r="F1" s="185"/>
      <c r="G1" s="185"/>
      <c r="H1" s="185"/>
      <c r="I1" s="185"/>
    </row>
    <row r="2" spans="1:9" ht="16.5">
      <c r="A2" s="185" t="str">
        <f>+'2. (Mat)'!A3:AA3</f>
        <v>Từ đoạn Km…+… - Km…+… Đường …</v>
      </c>
      <c r="B2" s="185"/>
      <c r="C2" s="185"/>
      <c r="D2" s="185"/>
      <c r="E2" s="185"/>
      <c r="F2" s="185"/>
      <c r="G2" s="185"/>
      <c r="H2" s="185"/>
      <c r="I2" s="185"/>
    </row>
    <row r="3" spans="1:9" ht="16.5">
      <c r="A3" s="186" t="str">
        <f>+'2. (Mat)'!A4:AA4</f>
        <v>Tính đến ngày 31 tháng 12 năm 2023</v>
      </c>
      <c r="B3" s="186"/>
      <c r="C3" s="186"/>
      <c r="D3" s="186"/>
      <c r="E3" s="186"/>
      <c r="F3" s="186"/>
      <c r="G3" s="186"/>
      <c r="H3" s="186"/>
      <c r="I3" s="186"/>
    </row>
    <row r="4" spans="1:9" s="1" customFormat="1" ht="20.25" customHeight="1">
      <c r="A4" s="174" t="s">
        <v>93</v>
      </c>
      <c r="B4" s="174" t="s">
        <v>2</v>
      </c>
      <c r="C4" s="174"/>
      <c r="D4" s="174" t="s">
        <v>129</v>
      </c>
      <c r="E4" s="174" t="s">
        <v>154</v>
      </c>
      <c r="F4" s="174"/>
      <c r="G4" s="174" t="s">
        <v>159</v>
      </c>
      <c r="H4" s="174"/>
      <c r="I4" s="182" t="s">
        <v>3</v>
      </c>
    </row>
    <row r="5" spans="1:9" s="1" customFormat="1" ht="31.5">
      <c r="A5" s="174"/>
      <c r="B5" s="4" t="s">
        <v>30</v>
      </c>
      <c r="C5" s="4" t="s">
        <v>6</v>
      </c>
      <c r="D5" s="174"/>
      <c r="E5" s="4" t="s">
        <v>155</v>
      </c>
      <c r="F5" s="4" t="s">
        <v>156</v>
      </c>
      <c r="G5" s="4" t="s">
        <v>157</v>
      </c>
      <c r="H5" s="3" t="s">
        <v>158</v>
      </c>
      <c r="I5" s="182"/>
    </row>
    <row r="6" spans="1:9" s="1" customFormat="1" ht="20.25" customHeight="1">
      <c r="A6" s="6"/>
      <c r="B6" s="6"/>
      <c r="C6" s="6"/>
      <c r="D6" s="6"/>
      <c r="E6" s="6"/>
      <c r="F6" s="6"/>
      <c r="G6" s="6"/>
      <c r="H6" s="6"/>
      <c r="I6" s="6"/>
    </row>
    <row r="7" spans="1:9" s="1" customFormat="1" ht="20.25" customHeight="1">
      <c r="A7" s="6"/>
      <c r="B7" s="6"/>
      <c r="C7" s="6"/>
      <c r="D7" s="6"/>
      <c r="E7" s="6"/>
      <c r="F7" s="6"/>
      <c r="G7" s="6"/>
      <c r="H7" s="6"/>
      <c r="I7" s="6"/>
    </row>
    <row r="8" spans="1:9" s="1" customFormat="1" ht="20.25" customHeight="1">
      <c r="A8" s="6"/>
      <c r="B8" s="6"/>
      <c r="C8" s="6"/>
      <c r="D8" s="6"/>
      <c r="E8" s="6"/>
      <c r="F8" s="6"/>
      <c r="G8" s="6"/>
      <c r="H8" s="6"/>
      <c r="I8" s="6"/>
    </row>
    <row r="9" spans="1:9" s="1" customFormat="1" ht="20.25" customHeight="1">
      <c r="A9" s="6"/>
      <c r="B9" s="6"/>
      <c r="C9" s="6"/>
      <c r="D9" s="6"/>
      <c r="E9" s="6"/>
      <c r="F9" s="6"/>
      <c r="G9" s="6"/>
      <c r="H9" s="6"/>
      <c r="I9" s="6"/>
    </row>
    <row r="10" spans="1:9" s="1" customFormat="1" ht="20.25" customHeight="1">
      <c r="A10" s="6"/>
      <c r="B10" s="6"/>
      <c r="C10" s="6"/>
      <c r="D10" s="6"/>
      <c r="E10" s="6"/>
      <c r="F10" s="6"/>
      <c r="G10" s="6"/>
      <c r="H10" s="6"/>
      <c r="I10" s="6"/>
    </row>
    <row r="11" spans="1:9" s="1" customFormat="1" ht="20.25" customHeight="1">
      <c r="A11" s="6"/>
      <c r="B11" s="6"/>
      <c r="C11" s="6"/>
      <c r="D11" s="6"/>
      <c r="E11" s="6"/>
      <c r="F11" s="6"/>
      <c r="G11" s="6"/>
      <c r="H11" s="6"/>
      <c r="I11" s="6"/>
    </row>
    <row r="12" spans="1:9" s="1" customFormat="1" ht="20.25" customHeight="1">
      <c r="A12" s="6"/>
      <c r="B12" s="6"/>
      <c r="C12" s="6"/>
      <c r="D12" s="6"/>
      <c r="E12" s="6"/>
      <c r="F12" s="6"/>
      <c r="G12" s="6"/>
      <c r="H12" s="6"/>
      <c r="I12" s="6"/>
    </row>
    <row r="13" spans="1:9" s="1" customFormat="1" ht="20.25" customHeight="1">
      <c r="A13" s="6"/>
      <c r="B13" s="6"/>
      <c r="C13" s="6"/>
      <c r="D13" s="6"/>
      <c r="E13" s="6"/>
      <c r="F13" s="6"/>
      <c r="G13" s="6"/>
      <c r="H13" s="6"/>
      <c r="I13" s="6"/>
    </row>
    <row r="14" spans="1:9" s="1" customFormat="1" ht="20.25" customHeight="1">
      <c r="A14" s="6"/>
      <c r="B14" s="6"/>
      <c r="C14" s="6"/>
      <c r="D14" s="6"/>
      <c r="E14" s="6"/>
      <c r="F14" s="6"/>
      <c r="G14" s="6"/>
      <c r="H14" s="6"/>
      <c r="I14" s="6"/>
    </row>
    <row r="15" spans="1:9" s="1" customFormat="1" ht="20.25" customHeight="1">
      <c r="A15" s="6"/>
      <c r="B15" s="6"/>
      <c r="C15" s="6"/>
      <c r="D15" s="6"/>
      <c r="E15" s="6"/>
      <c r="F15" s="6"/>
      <c r="G15" s="6"/>
      <c r="H15" s="6"/>
      <c r="I15" s="6"/>
    </row>
    <row r="16" spans="1:9" s="1" customFormat="1" ht="20.25" customHeight="1">
      <c r="A16" s="6"/>
      <c r="B16" s="6"/>
      <c r="C16" s="6"/>
      <c r="D16" s="6"/>
      <c r="E16" s="6"/>
      <c r="F16" s="6"/>
      <c r="G16" s="6"/>
      <c r="H16" s="6"/>
      <c r="I16" s="6"/>
    </row>
    <row r="18" spans="8:9" ht="16.5">
      <c r="H18" s="185" t="s">
        <v>171</v>
      </c>
      <c r="I18" s="185"/>
    </row>
  </sheetData>
  <mergeCells count="10">
    <mergeCell ref="H18:I18"/>
    <mergeCell ref="D4:D5"/>
    <mergeCell ref="E4:F4"/>
    <mergeCell ref="G4:H4"/>
    <mergeCell ref="A1:I1"/>
    <mergeCell ref="A2:I2"/>
    <mergeCell ref="A3:I3"/>
    <mergeCell ref="A4:A5"/>
    <mergeCell ref="B4:C4"/>
    <mergeCell ref="I4:I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2"/>
  <sheetViews>
    <sheetView view="pageBreakPreview" zoomScaleNormal="100" zoomScaleSheetLayoutView="100" workbookViewId="0">
      <selection sqref="A1:I1"/>
    </sheetView>
  </sheetViews>
  <sheetFormatPr defaultRowHeight="16.5"/>
  <cols>
    <col min="1" max="1" width="5.33203125" style="42" customWidth="1"/>
    <col min="2" max="2" width="24.1640625" style="2" customWidth="1"/>
    <col min="3" max="5" width="9.33203125" style="17"/>
    <col min="6" max="6" width="21" style="17" customWidth="1"/>
    <col min="7" max="7" width="16.83203125" style="2" customWidth="1"/>
    <col min="8" max="16384" width="9.33203125" style="2"/>
  </cols>
  <sheetData>
    <row r="1" spans="1:12">
      <c r="F1" s="183" t="s">
        <v>279</v>
      </c>
      <c r="G1" s="183"/>
    </row>
    <row r="2" spans="1:12">
      <c r="A2" s="185" t="s">
        <v>172</v>
      </c>
      <c r="B2" s="185"/>
      <c r="C2" s="185"/>
      <c r="D2" s="185"/>
      <c r="E2" s="185"/>
      <c r="F2" s="185"/>
      <c r="G2" s="185"/>
    </row>
    <row r="3" spans="1:12">
      <c r="A3" s="185" t="s">
        <v>239</v>
      </c>
      <c r="B3" s="185"/>
      <c r="C3" s="185"/>
      <c r="D3" s="185"/>
      <c r="E3" s="185"/>
      <c r="F3" s="185"/>
      <c r="G3" s="185"/>
      <c r="H3" s="18"/>
      <c r="I3" s="18"/>
      <c r="J3" s="18"/>
      <c r="K3" s="18"/>
      <c r="L3" s="18"/>
    </row>
    <row r="4" spans="1:12">
      <c r="A4" s="19"/>
      <c r="B4" s="20"/>
      <c r="C4" s="21"/>
      <c r="D4" s="21"/>
      <c r="E4" s="20"/>
      <c r="F4" s="20"/>
      <c r="G4" s="20"/>
    </row>
    <row r="5" spans="1:12" ht="16.899999999999999" customHeight="1">
      <c r="A5" s="182" t="s">
        <v>0</v>
      </c>
      <c r="B5" s="182" t="s">
        <v>2</v>
      </c>
      <c r="C5" s="207" t="s">
        <v>173</v>
      </c>
      <c r="D5" s="207"/>
      <c r="E5" s="207" t="s">
        <v>174</v>
      </c>
      <c r="F5" s="207"/>
      <c r="G5" s="182" t="s">
        <v>3</v>
      </c>
    </row>
    <row r="6" spans="1:12">
      <c r="A6" s="182"/>
      <c r="B6" s="182"/>
      <c r="C6" s="22" t="s">
        <v>175</v>
      </c>
      <c r="D6" s="22" t="s">
        <v>176</v>
      </c>
      <c r="E6" s="22" t="s">
        <v>177</v>
      </c>
      <c r="F6" s="22" t="s">
        <v>51</v>
      </c>
      <c r="G6" s="182"/>
    </row>
    <row r="7" spans="1:12">
      <c r="A7" s="96" t="s">
        <v>11</v>
      </c>
      <c r="B7" s="96" t="s">
        <v>230</v>
      </c>
      <c r="C7" s="97"/>
      <c r="D7" s="97"/>
      <c r="E7" s="97"/>
      <c r="F7" s="97"/>
      <c r="G7" s="96"/>
    </row>
    <row r="8" spans="1:12">
      <c r="A8" s="23"/>
      <c r="B8" s="24"/>
      <c r="C8" s="25"/>
      <c r="D8" s="25"/>
      <c r="E8" s="25"/>
      <c r="F8" s="25"/>
      <c r="G8" s="26" t="s">
        <v>254</v>
      </c>
    </row>
    <row r="9" spans="1:12">
      <c r="A9" s="27"/>
      <c r="B9" s="28"/>
      <c r="C9" s="29"/>
      <c r="D9" s="29"/>
      <c r="E9" s="29"/>
      <c r="F9" s="29"/>
      <c r="G9" s="30" t="s">
        <v>255</v>
      </c>
    </row>
    <row r="10" spans="1:12">
      <c r="A10" s="31"/>
      <c r="B10" s="32"/>
      <c r="C10" s="33"/>
      <c r="D10" s="33"/>
      <c r="E10" s="33"/>
      <c r="F10" s="33"/>
      <c r="G10" s="34" t="s">
        <v>256</v>
      </c>
    </row>
    <row r="11" spans="1:12">
      <c r="A11" s="27"/>
      <c r="B11" s="28"/>
      <c r="C11" s="29"/>
      <c r="E11" s="29"/>
      <c r="F11" s="29"/>
      <c r="G11" s="30" t="s">
        <v>257</v>
      </c>
    </row>
    <row r="12" spans="1:12">
      <c r="A12" s="27"/>
      <c r="B12" s="28"/>
      <c r="C12" s="29"/>
      <c r="D12" s="29"/>
      <c r="E12" s="29"/>
      <c r="F12" s="29"/>
      <c r="G12" s="30"/>
    </row>
    <row r="13" spans="1:12" s="18" customFormat="1" ht="22.5" customHeight="1">
      <c r="A13" s="98" t="s">
        <v>42</v>
      </c>
      <c r="B13" s="99" t="s">
        <v>232</v>
      </c>
      <c r="C13" s="100"/>
      <c r="D13" s="100"/>
      <c r="E13" s="100"/>
      <c r="F13" s="100"/>
      <c r="G13" s="101"/>
    </row>
    <row r="14" spans="1:12">
      <c r="A14" s="27"/>
      <c r="B14" s="35"/>
      <c r="C14" s="36"/>
      <c r="D14" s="36"/>
      <c r="E14" s="36"/>
      <c r="F14" s="36"/>
      <c r="G14" s="37"/>
    </row>
    <row r="15" spans="1:12">
      <c r="A15" s="27"/>
      <c r="B15" s="35"/>
      <c r="C15" s="36"/>
      <c r="D15" s="36"/>
      <c r="E15" s="36"/>
      <c r="F15" s="36"/>
      <c r="G15" s="37"/>
    </row>
    <row r="16" spans="1:12">
      <c r="A16" s="27"/>
      <c r="B16" s="35"/>
      <c r="C16" s="36"/>
      <c r="D16" s="36"/>
      <c r="E16" s="36"/>
      <c r="F16" s="36"/>
      <c r="G16" s="37"/>
    </row>
    <row r="17" spans="1:14">
      <c r="A17" s="38"/>
      <c r="B17" s="39"/>
      <c r="C17" s="40"/>
      <c r="D17" s="40"/>
      <c r="E17" s="40"/>
      <c r="F17" s="40"/>
      <c r="G17" s="41"/>
    </row>
    <row r="18" spans="1:14">
      <c r="B18" s="43"/>
    </row>
    <row r="19" spans="1:14">
      <c r="B19" s="43"/>
      <c r="E19" s="185" t="s">
        <v>171</v>
      </c>
      <c r="F19" s="185"/>
      <c r="G19" s="185"/>
    </row>
    <row r="20" spans="1:14">
      <c r="A20" s="185"/>
      <c r="B20" s="185"/>
      <c r="C20" s="185"/>
      <c r="E20" s="44"/>
      <c r="F20" s="18"/>
      <c r="G20" s="18"/>
      <c r="H20" s="7"/>
      <c r="I20" s="7"/>
      <c r="J20" s="7"/>
      <c r="K20" s="7"/>
      <c r="L20" s="7"/>
      <c r="M20" s="7"/>
      <c r="N20" s="7"/>
    </row>
    <row r="21" spans="1:14">
      <c r="B21" s="17"/>
      <c r="E21" s="44"/>
      <c r="F21" s="18"/>
      <c r="G21" s="18"/>
      <c r="H21" s="17"/>
      <c r="I21" s="17"/>
      <c r="J21" s="17"/>
      <c r="K21" s="17"/>
      <c r="L21" s="17"/>
      <c r="M21" s="17"/>
    </row>
    <row r="22" spans="1:14">
      <c r="B22" s="17"/>
      <c r="E22" s="44"/>
      <c r="F22" s="18"/>
      <c r="G22" s="18"/>
      <c r="H22" s="17"/>
      <c r="I22" s="17"/>
      <c r="J22" s="17"/>
      <c r="K22" s="17"/>
      <c r="L22" s="17"/>
      <c r="M22" s="17"/>
    </row>
  </sheetData>
  <mergeCells count="10">
    <mergeCell ref="F1:G1"/>
    <mergeCell ref="E19:G19"/>
    <mergeCell ref="A20:C20"/>
    <mergeCell ref="A2:G2"/>
    <mergeCell ref="A3:G3"/>
    <mergeCell ref="A5:A6"/>
    <mergeCell ref="B5:B6"/>
    <mergeCell ref="C5:D5"/>
    <mergeCell ref="E5:F5"/>
    <mergeCell ref="G5:G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10</vt:i4>
      </vt:variant>
    </vt:vector>
  </HeadingPairs>
  <TitlesOfParts>
    <vt:vector size="26" baseType="lpstr">
      <vt:lpstr>Bia</vt:lpstr>
      <vt:lpstr>Huong dan</vt:lpstr>
      <vt:lpstr>Kh.Quat</vt:lpstr>
      <vt:lpstr>1. TH</vt:lpstr>
      <vt:lpstr>2. (Mat)</vt:lpstr>
      <vt:lpstr>3. (Cau)</vt:lpstr>
      <vt:lpstr>4. (Cong)</vt:lpstr>
      <vt:lpstr>5. (B.Bao)</vt:lpstr>
      <vt:lpstr>6. (ATGT)</vt:lpstr>
      <vt:lpstr>7. (Ho lan)</vt:lpstr>
      <vt:lpstr>8. (MLG)</vt:lpstr>
      <vt:lpstr>9. (Ke+TC)</vt:lpstr>
      <vt:lpstr>10. (Ranh)</vt:lpstr>
      <vt:lpstr>11. (L+P.co)</vt:lpstr>
      <vt:lpstr>Bieu 11 (Ch.Sang+Cay xanh)</vt:lpstr>
      <vt:lpstr>12. (Dau noi)</vt:lpstr>
      <vt:lpstr>'10. (Ranh)'!Print_Area</vt:lpstr>
      <vt:lpstr>'11. (L+P.co)'!Print_Area</vt:lpstr>
      <vt:lpstr>'12. (Dau noi)'!Print_Area</vt:lpstr>
      <vt:lpstr>'3. (Cau)'!Print_Area</vt:lpstr>
      <vt:lpstr>'4. (Cong)'!Print_Area</vt:lpstr>
      <vt:lpstr>'5. (B.Bao)'!Print_Area</vt:lpstr>
      <vt:lpstr>'6. (ATGT)'!Print_Area</vt:lpstr>
      <vt:lpstr>'7. (Ho lan)'!Print_Area</vt:lpstr>
      <vt:lpstr>'8. (MLG)'!Print_Area</vt:lpstr>
      <vt:lpstr>'9. (Ke+TC)'!Print_Area</vt:lpstr>
    </vt:vector>
  </TitlesOfParts>
  <Company>HPQCOMPANY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NKCuong</dc:creator>
  <cp:lastModifiedBy>Loi Van</cp:lastModifiedBy>
  <cp:lastPrinted>2024-07-19T08:29:32Z</cp:lastPrinted>
  <dcterms:created xsi:type="dcterms:W3CDTF">2012-10-12T19:47:57Z</dcterms:created>
  <dcterms:modified xsi:type="dcterms:W3CDTF">2025-07-14T10:17:38Z</dcterms:modified>
</cp:coreProperties>
</file>